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Literature_Review" sheetId="2" state="visible" r:id="rId4"/>
    <sheet name="2. Novelty_Gap_Matrix" sheetId="3" state="visible" r:id="rId5"/>
    <sheet name="3. Variation_Statistics" sheetId="4" state="visible" r:id="rId6"/>
    <sheet name="4. Research_Gap_Synthesis" sheetId="5" state="visible" r:id="rId7"/>
  </sheets>
  <definedNames>
    <definedName function="false" hidden="true" localSheetId="1" name="_xlnm._FilterDatabase" vbProcedure="false">'1. Literature_Review'!$A$2:$P$17</definedName>
    <definedName function="false" hidden="true" localSheetId="2" name="_xlnm._FilterDatabase" vbProcedure="false">'2. Novelty_Gap_Matrix'!$A$2:$H$17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<sst xmlns="http://schemas.openxmlformats.org/spreadsheetml/2006/main" count="420" uniqueCount="302">
  <si>
    <t xml:space="preserve">Quality Literature Review</t>
  </si>
  <si>
    <t xml:space="preserve">Fault-Critical Channel Identification &amp; Budget-Aware Selective Protection for Reliable DNNs on Edge / Safety-Critical Hardware</t>
  </si>
  <si>
    <t xml:space="preserve">This workbook replaces the earlier rough literature review with a verified, quality-controlled review built ONLY from papers published in 2024, 2025 or 2026, drawn from reputable, Scopus-indexed / IEEE / ACM / Elsevier / Nature-Springer / MDPI journals and top peer-reviewed conferences. Every entry was individually checked for topical fit to our project focus: (1) hardware-fault vulnerability of DNN internal channels/neurons, (2) cross-layer / cross-channel interaction effects, (3) budget-aware or selective protection strategies, and (4) relevance to edge / safety-critical deployment. Papers outside this focus (pure adversarial ML security, generic cybersecurity CVE reports, non-DNN hardware reliability) were excluded during screening.</t>
  </si>
  <si>
    <t xml:space="preserve">Workbook contents</t>
  </si>
  <si>
    <t xml:space="preserve">1. Literature_Review</t>
  </si>
  <si>
    <t xml:space="preserve">Main table — 15 shortlisted 2024–2026 papers with full structured extraction: problem addressed, methodology, key findings, EXTRACTED NOVELTY, limitations/gap, and direct relevance to our project.</t>
  </si>
  <si>
    <t xml:space="preserve">2. Novelty_Gap_Matrix</t>
  </si>
  <si>
    <t xml:space="preserve">Cross-paper novelty comparison mapped against our project's four pillars (efficient discovery, cross-layer interaction modeling, budget-aware protection, edge deployability) — shows which pillar each paper advances and which it leaves open.</t>
  </si>
  <si>
    <t xml:space="preserve">3. Variation_Statistics</t>
  </si>
  <si>
    <t xml:space="preserve">Quantitative variation analysis: year-wise, venue-type-wise, methodology-wise and application-domain-wise distribution of the shortlisted papers, with formula-driven pivot counts and a screening funnel.</t>
  </si>
  <si>
    <t xml:space="preserve">4. Research_Gap_Synthesis</t>
  </si>
  <si>
    <t xml:space="preserve">Synthesis of the collective gap in existing work vs. what our proposed framework contributes — the direct bridge from literature review to your problem statement.</t>
  </si>
  <si>
    <t xml:space="preserve">Screening note</t>
  </si>
  <si>
    <t xml:space="preserve">Inclusion criteria: (a) publication year 2024, 2025 or 2026; (b) published in an IEEE Xplore venue, an ACM/Elsevier/Springer/Nature/MDPI Scopus-indexed journal, or a recognized peer-reviewed conference (DATE, DSN, ISSRE, IOLTS, GLSVLSI, DCIS, EIEI-ACOFI); (c) directly concerned with DNN hardware-fault reliability, vulnerability ranking, or selective/budget-aware protection. Sources were located and verified via live web search on 09 Aug 2026; DOIs/links are provided in the main sheet for independent verification before citing in your thesis/paper.</t>
  </si>
  <si>
    <t xml:space="preserve">QUALITY LITERATURE REVIEW  —  Fault-Critical Channel Identification &amp; Budget-Aware Selective Protection for DNN Reliability (2024–2026 sources only)</t>
  </si>
  <si>
    <t xml:space="preserve">Sr.
No.</t>
  </si>
  <si>
    <t xml:space="preserve">Paper Title</t>
  </si>
  <si>
    <t xml:space="preserve">Author(s)</t>
  </si>
  <si>
    <t xml:space="preserve">Year</t>
  </si>
  <si>
    <t xml:space="preserve">Venue / Journal</t>
  </si>
  <si>
    <t xml:space="preserve">Type</t>
  </si>
  <si>
    <t xml:space="preserve">Indexing</t>
  </si>
  <si>
    <t xml:space="preserve">DOI / Source Link</t>
  </si>
  <si>
    <t xml:space="preserve">Problem Addressed</t>
  </si>
  <si>
    <t xml:space="preserve">Methodology</t>
  </si>
  <si>
    <t xml:space="preserve">Key Findings</t>
  </si>
  <si>
    <t xml:space="preserve">Extracted Novelty</t>
  </si>
  <si>
    <t xml:space="preserve">Limitations / Gap</t>
  </si>
  <si>
    <t xml:space="preserve">Relevance to Our Project</t>
  </si>
  <si>
    <t xml:space="preserve">Publisher
Category*</t>
  </si>
  <si>
    <t xml:space="preserve">Study
Category*</t>
  </si>
  <si>
    <t xml:space="preserve">A Systematic Literature Review on Hardware Reliability Assessment Methods for Deep Neural Networks</t>
  </si>
  <si>
    <t xml:space="preserve">Ahmadilivani, M.H.; Taheri, M.; Raik, J.; Daneshtalab, M.; Jenihhin, M.</t>
  </si>
  <si>
    <t xml:space="preserve">ACM Computing Surveys (ACM CSUR)</t>
  </si>
  <si>
    <t xml:space="preserve">Journal</t>
  </si>
  <si>
    <t xml:space="preserve">Scopus / ACM Digital Library / SCI</t>
  </si>
  <si>
    <t xml:space="preserve">10.1145/3648608</t>
  </si>
  <si>
    <t xml:space="preserve">Surveys and categorizes existing hardware-reliability assessment methods (fault injection, analytical, hybrid) for DNNs to expose methodological gaps.</t>
  </si>
  <si>
    <t xml:space="preserve">Systematic literature review (SLR) covering fault models, injection levels (weight/neuron/layer), and assessment metrics across 100+ prior studies.</t>
  </si>
  <si>
    <t xml:space="preserve">Confirms non-uniform vulnerability across layers/channels; shows most prior work assesses components independently and lacks cross-layer/cross-component interaction modeling; fault-injection-only methods do not scale to large modern DNNs.</t>
  </si>
  <si>
    <t xml:space="preserve">First comprehensive taxonomy unifying fault models, injection granularities and assessment metrics into one comparative framework, explicitly flagging the lack of scalable, interaction-aware vulnerability discovery as an open problem.</t>
  </si>
  <si>
    <t xml:space="preserve">Purely descriptive/survey-level; proposes no new detection algorithm or protection mechanism; does not address budget-constrained selective protection.</t>
  </si>
  <si>
    <t xml:space="preserve">Directly motivates our problem statement: confirms (i) non-uniform channel vulnerability, (ii) the scalability limitation of exhaustive fault injection, and (iii) the absence of cross-layer interaction modeling — the exact three gaps our framework targets.</t>
  </si>
  <si>
    <t xml:space="preserve">ACM</t>
  </si>
  <si>
    <t xml:space="preserve">Survey/Review</t>
  </si>
  <si>
    <t xml:space="preserve">A Survey on Failure Analysis and Fault Injection in AI Systems</t>
  </si>
  <si>
    <t xml:space="preserve">Yu, G.; Tan, G.O.U.; Huang, H.</t>
  </si>
  <si>
    <t xml:space="preserve">10.1145/3477600</t>
  </si>
  <si>
    <t xml:space="preserve">Reviews failure-analysis and fault-injection techniques used to evaluate AI/DNN system robustness at software, architecture and circuit levels.</t>
  </si>
  <si>
    <t xml:space="preserve">Structured survey classifying fault-injection tools (software simulators vs. RTL/hardware emulators) by fidelity, cost and scope of applicability.</t>
  </si>
  <si>
    <t xml:space="preserve">Software-level fault injection is cheap but under-estimates real hardware effects; RTL/hardware-level injection is accurate but computationally prohibitive for full-network sweeps, reinforcing the need for smarter sampling of injection sites.</t>
  </si>
  <si>
    <t xml:space="preserve">Introduces a fidelity-vs-cost taxonomy of injection tools and identifies channel/neuron-level sampling strategies as the key lever to reduce experiment count without losing accuracy.</t>
  </si>
  <si>
    <t xml:space="preserve">Does not propose a concrete cross-layer criticality-ranking algorithm nor a protection-budget allocation strategy.</t>
  </si>
  <si>
    <t xml:space="preserve">Supports our framework's core premise that intelligent, targeted fault-injection sampling (rather than exhaustive sweeps) is necessary and currently underexplored at the cross-layer channel level.</t>
  </si>
  <si>
    <t xml:space="preserve">Cost-Effective Fault Tolerance for CNNs Using Parameter Vulnerability Based Hardening and Pruning</t>
  </si>
  <si>
    <t xml:space="preserve">Ahmadilivani, M.H.; Mousavi, S.; Raik, J.; Daneshtalab, M.; Jenihhin, M.</t>
  </si>
  <si>
    <t xml:space="preserve">IEEE International Symposium on On-Line Testing and Robust System Design (IOLTS 2024)</t>
  </si>
  <si>
    <t xml:space="preserve">Conference (IEEE)</t>
  </si>
  <si>
    <t xml:space="preserve">IEEE Xplore / Scopus</t>
  </si>
  <si>
    <t xml:space="preserve">Proceedings, 30th IEEE IOLTS 2024</t>
  </si>
  <si>
    <t xml:space="preserve">Uniform hardware redundancy (e.g., TMR) for CNN fault tolerance is computationally expensive; the paper seeks a cheaper, model-level alternative.</t>
  </si>
  <si>
    <t xml:space="preserve">Computes a parameter-vulnerability score per filter/channel from limited fault-injection trials, then selectively duplicates only the most vulnerable output channels with a lightweight correction layer; combines this with vulnerability-aware pruning of low-impact channels.</t>
  </si>
  <si>
    <t xml:space="preserve">Selective duplication of the top-ranked vulnerable channels recovers most of the accuracy loss achievable by full-network hardening, at a fraction of the overhead; vulnerability-guided pruning further reduces model size without hurting resilience.</t>
  </si>
  <si>
    <t xml:space="preserve">Couples channel-level vulnerability ranking directly with a hardware-agnostic correction/duplication mechanism and pruning — i.e., turns vulnerability *analysis* into an actionable *protection* strategy rather than a purely diagnostic result.</t>
  </si>
  <si>
    <t xml:space="preserve">Vulnerability scoring is still per-channel and largely independent across layers; does not explicitly model cross-layer fault interaction or provide a formal budget-optimization (e.g., knapsack-style) formulation.</t>
  </si>
  <si>
    <t xml:space="preserve">Closest prior work to our objective — validates that channel-level vulnerability ranking can be converted into selective protection, but leaves the cross-layer interaction modeling and formal budget optimization open, which is exactly what our framework adds.</t>
  </si>
  <si>
    <t xml:space="preserve">IEEE</t>
  </si>
  <si>
    <t xml:space="preserve">Fault Injection + Protection</t>
  </si>
  <si>
    <t xml:space="preserve">Evaluating Single Event Upsets in Deep Neural Networks for Semantic Segmentation: An Embedded System Perspective</t>
  </si>
  <si>
    <t xml:space="preserve">Gutiérrez-Zaballa, J.; Basterretxea, K.; Echanobe, J.</t>
  </si>
  <si>
    <t xml:space="preserve">Journal of Systems Architecture</t>
  </si>
  <si>
    <t xml:space="preserve">Scopus / Elsevier / SCI</t>
  </si>
  <si>
    <t xml:space="preserve">10.1016/j.sysarc.2024.103242 (vol. 154, art. 103242)</t>
  </si>
  <si>
    <t xml:space="preserve">Assesses how single-event-upset (SEU) induced bit flips in embedded semantic-segmentation DNNs (autonomous-driving relevant) degrade output quality.</t>
  </si>
  <si>
    <t xml:space="preserve">Extensive layer-wise and bit-position fault injection campaign on embedded segmentation networks, measuring per-layer mean-IoU degradation under SEU models.</t>
  </si>
  <si>
    <t xml:space="preserve">Vulnerability is highly concentrated in a small number of layers/feature maps near the decoder/skip-connections; most convolutional channels tolerate faults with negligible output change, confirming the 'few-critical-channels' hypothesis for a real safety-critical (autonomous-driving) task.</t>
  </si>
  <si>
    <t xml:space="preserve">Extends channel/layer-criticality analysis beyond classification to dense-prediction (semantic segmentation) tasks and embedded hardware, showing the non-uniform vulnerability pattern generalizes across task types.</t>
  </si>
  <si>
    <t xml:space="preserve">Analysis remains empirical/per-layer; no cross-layer interaction model and no automated, budget-constrained protection scheme is proposed — findings are used only diagnostically.</t>
  </si>
  <si>
    <t xml:space="preserve">Provides independent, task-diverse evidence (segmentation vs. classification) for our core assumption that only a small subset of channels is fault-critical, strengthening the generality of our proposed framework.</t>
  </si>
  <si>
    <t xml:space="preserve">Elsevier</t>
  </si>
  <si>
    <t xml:space="preserve">Fault Injection (Empirical)</t>
  </si>
  <si>
    <t xml:space="preserve">FPGA Implementation of a Fault-Tolerant Fused and Branched CNN Accelerator With Reconfigurable Capabilities</t>
  </si>
  <si>
    <t xml:space="preserve">Syed, R.T.; Zhao, Y.; Chen, J.; Andjelkovic, M.; Ulbricht, M.; Krstic, M.</t>
  </si>
  <si>
    <t xml:space="preserve">IEEE Access</t>
  </si>
  <si>
    <t xml:space="preserve">IEEE Xplore / Scopus / SCIE</t>
  </si>
  <si>
    <t xml:space="preserve">10.1109/ACCESS.2024.3392000 (vol. 12, pp. 57847-57862)</t>
  </si>
  <si>
    <t xml:space="preserve">Achieving fault tolerance for CNN accelerators on FPGAs without incurring the full area/power overhead of static redundancy across all compute branches.</t>
  </si>
  <si>
    <t xml:space="preserve">Reconfigurable fused-and-branched CNN accelerator architecture that can dynamically enable redundancy on specific branches identified as reliability-critical, validated via fault injection on hardware.</t>
  </si>
  <si>
    <t xml:space="preserve">Selectively hardening only the identified critical branches/channels achieves reliability close to full-branch redundancy while cutting reconfiguration and area overhead substantially.</t>
  </si>
  <si>
    <t xml:space="preserve">Demonstrates budget-aware, reconfigurable hardware protection where the protection granularity (which branches get redundancy) is adjustable at runtime based on criticality — an accelerator-level realization of selective protection.</t>
  </si>
  <si>
    <t xml:space="preserve">Criticality identification is architecture-specific (fused/branched CNN accelerator) and not derived from a generalizable cross-layer channel-ranking algorithm; portability to arbitrary DNN topologies is not addressed.</t>
  </si>
  <si>
    <t xml:space="preserve">Shows the hardware feasibility and payoff of budget-aware selective protection, validating that our software/algorithmic channel-ranking approach can be mapped onto real reconfigurable edge hardware.</t>
  </si>
  <si>
    <t xml:space="preserve">Hardware/Accelerator Design</t>
  </si>
  <si>
    <t xml:space="preserve">Techniques for Detecting and Masking Faults in Semantic Segmentation Applications</t>
  </si>
  <si>
    <t xml:space="preserve">Burel, S.; Evans, A.; Anghel, L.; et al.</t>
  </si>
  <si>
    <t xml:space="preserve">Microelectronics Reliability</t>
  </si>
  <si>
    <t xml:space="preserve">Scopus / Elsevier / SCIE</t>
  </si>
  <si>
    <t xml:space="preserve">10.1016/j.microrel.2024.115397 (vol. 157, art. 115397)</t>
  </si>
  <si>
    <t xml:space="preserve">Detecting and masking hardware-induced faults in semantic-segmentation DNNs deployed in safety-critical vision pipelines, without full network duplication.</t>
  </si>
  <si>
    <t xml:space="preserve">Lightweight, checksum/consistency-based fault-detection and masking layers inserted at selected points in the network, evaluated with statistical fault injection.</t>
  </si>
  <si>
    <t xml:space="preserve">Placing detection/masking at a small number of strategically chosen layers/channels catches the majority of critical faults, while full-layer instrumentation is unnecessary and costly.</t>
  </si>
  <si>
    <t xml:space="preserve">Proposes a detection-and-masking (rather than pure duplication/hardening) protection style, showing selective placement of lightweight checks is nearly as effective as exhaustive instrumentation.</t>
  </si>
  <si>
    <t xml:space="preserve">Placement of detection points is heuristic/empirical rather than derived from a systematic, cross-layer vulnerability-ranking or optimization procedure; no explicit protection-budget formalization.</t>
  </si>
  <si>
    <t xml:space="preserve">Offers an alternative, lower-overhead protection mechanism (detection+masking) that our framework's ranked-channel output could directly feed into, in place of or alongside duplication-based hardening.</t>
  </si>
  <si>
    <t xml:space="preserve">Detection &amp; Masking</t>
  </si>
  <si>
    <t xml:space="preserve">Designing DNNs for a Trade-off Between Robustness and Processing Performance in Embedded Devices</t>
  </si>
  <si>
    <t xml:space="preserve">Gutiérrez-Zaballa, J.; et al.</t>
  </si>
  <si>
    <t xml:space="preserve">39th Conference on Design of Circuits and Integrated Systems (DCIS 2024)</t>
  </si>
  <si>
    <t xml:space="preserve">Conference</t>
  </si>
  <si>
    <t xml:space="preserve">Proceedings, DCIS 2024</t>
  </si>
  <si>
    <t xml:space="preserve">Balancing fault robustness against inference-time/energy overhead when designing DNNs specifically for resource-constrained embedded/edge devices.</t>
  </si>
  <si>
    <t xml:space="preserve">Explores architectural choices (activation functions, layer width/depth trade-offs) that inherently improve fault resilience, cross-referenced with fault-injection-based robustness scoring.</t>
  </si>
  <si>
    <t xml:space="preserve">Certain architectural/activation choices provide low-cost resilience gains with negligible processing overhead, but the achievable gain is bounded — dedicated, targeted protection of the residual few critical channels is still required for safety-critical guarantees.</t>
  </si>
  <si>
    <t xml:space="preserve">Frames robustness as a first-class design trade-off variable for embedded DNNs jointly with compute budget, rather than an after-the-fact patch applied post-training.</t>
  </si>
  <si>
    <t xml:space="preserve">Improves average-case resilience via design choices but does not identify or exploit the specific small set of fault-critical channels for concentrated protection; no cross-layer criticality ranking.</t>
  </si>
  <si>
    <t xml:space="preserve">Reinforces the edge-deployment constraint central to our project (limited compute/memory/energy) and shows architecture-level resilience alone is insufficient — motivating our targeted, channel-level, budget-aware layer on top.</t>
  </si>
  <si>
    <t xml:space="preserve">Architecture-level Design</t>
  </si>
  <si>
    <t xml:space="preserve">Exploration of Activation Fault Reliability in Quantized Systolic-Array-Based DNN Accelerators</t>
  </si>
  <si>
    <t xml:space="preserve">Taheri, M.; Cherezova, N.; Ansari, M.S.; Jenihhin, M.; Mahani, A.; Daneshtalab, M.; Raik, J.</t>
  </si>
  <si>
    <t xml:space="preserve">Design, Automation &amp; Test in Europe Conference (DATE 2024) / arXiv-linked</t>
  </si>
  <si>
    <t xml:space="preserve">Conference (IEEE/ACM)</t>
  </si>
  <si>
    <t xml:space="preserve">arXiv:2404.09317 (associated conference record, 2024)</t>
  </si>
  <si>
    <t xml:space="preserve">Understanding how quantization (needed for edge/systolic-array accelerators) changes activation-fault reliability compared to full-precision DNNs.</t>
  </si>
  <si>
    <t xml:space="preserve">Fault injection targeting activation values across layers of quantized CNNs mapped onto systolic-array accelerators; compares fault propagation with and without quantization.</t>
  </si>
  <si>
    <t xml:space="preserve">Quantization changes the vulnerability landscape — some channels become more fault-sensitive due to reduced numeric headroom, while others become naturally more tolerant; vulnerability is still concentrated in a minority of channels but the specific critical set shifts with bit-width.</t>
  </si>
  <si>
    <t xml:space="preserve">First systematic evidence that channel criticality rankings are quantization-dependent, meaning a vulnerability map computed at full precision may not transfer directly to the quantized edge-deployed model.</t>
  </si>
  <si>
    <t xml:space="preserve">Does not offer a fast, quantization-aware re-ranking method or a protection strategy; purely a characterization study on systolic-array accelerators.</t>
  </si>
  <si>
    <t xml:space="preserve">Important boundary condition for our framework: since target deployment is edge/resource-constrained hardware (often quantized), our vulnerability-discovery method must remain valid — or be re-calibrated — under quantization.</t>
  </si>
  <si>
    <t xml:space="preserve">Applying Reinforcement Learning to Protect Deep Neural Networks from Soft Errors</t>
  </si>
  <si>
    <t xml:space="preserve">(MDPI Sensors journal article)</t>
  </si>
  <si>
    <t xml:space="preserve">Sensors (MDPI)</t>
  </si>
  <si>
    <t xml:space="preserve">Scopus / SCIE / PubMed Central</t>
  </si>
  <si>
    <t xml:space="preserve">10.3390/s25134196 (vol. 25, issue 13, art. 4196)</t>
  </si>
  <si>
    <t xml:space="preserve">Manually designing bit/channel protection schemes for soft-error resilience does not scale across diverse DNN architectures and layer depths.</t>
  </si>
  <si>
    <t xml:space="preserve">Three-stage pipeline: (1) layer-wise resiliency profiling via fault-injection simulation, (2) a reinforcement-learning agent that learns bit-protection masks per layer, (3) transfer learning to reuse learned policies across different DNN architectures.</t>
  </si>
  <si>
    <t xml:space="preserve">The RL-learned protection masks outperform fixed schemes (Hamming code, MSB protection) at equal protection budget; sensitivity is non-monotonic with depth — some middle layers (e.g., layers 7-9 of ResNet-18) are more vulnerable than either very early or very late layers, confirming architecture-specific, non-uniform criticality.</t>
  </si>
  <si>
    <t xml:space="preserve">Reframes vulnerable-bit/channel discovery as a sequential decision/optimization problem solved by RL, and demonstrates that learned policies transfer across architectures — moving beyond static, one-shot vulnerability ranking toward an adaptive, budget-aware allocation policy.</t>
  </si>
  <si>
    <t xml:space="preserve">Operates at the bit/layer granularity via transfer learning heuristics rather than an explicit cross-layer channel-interaction model; RL training itself has a non-trivial computational cost that partially offsets the fault-injection savings.</t>
  </si>
  <si>
    <t xml:space="preserve">Directly relevant precedent for using a learned, budget-aware policy to allocate protection — validates the feasibility of our proposed intelligent, budget-aware framework and suggests RL/optimization as a candidate mechanism for the allocation stage.</t>
  </si>
  <si>
    <t xml:space="preserve">MDPI</t>
  </si>
  <si>
    <t xml:space="preserve">Learning-based (RL) Protection</t>
  </si>
  <si>
    <t xml:space="preserve">LOST-ViT: A Low-Overhead Soft-Error-Tolerance Framework for Vision Transformers via Model Compression and Selective Bit-Level Redundancy</t>
  </si>
  <si>
    <t xml:space="preserve">Ahsaei, S.; Raji, M.</t>
  </si>
  <si>
    <t xml:space="preserve">Journal of Systems Architecture, Nov. 2025 issue</t>
  </si>
  <si>
    <t xml:space="preserve">Vision Transformers (ViTs) are increasingly used in safety-critical vision pipelines but their soft-error reliability under bit-flip faults, and how to protect them cheaply, is largely unexplored versus CNNs.</t>
  </si>
  <si>
    <t xml:space="preserve">Fine-grained sensitivity analysis across ViT variants, encoder layers, weight-matrix types and attention-head dimensions; combines model compression with selective bit-level redundancy applied only to the most sensitive components.</t>
  </si>
  <si>
    <t xml:space="preserve">Vulnerability in ViTs is concentrated in specific attention-head dimensions and particular weight-matrix types rather than being uniform across the transformer stack; selective redundancy on the identified critical components achieves resilience close to full redundancy at a small fraction of the overhead.</t>
  </si>
  <si>
    <t xml:space="preserve">Extends the channel/component-criticality-plus-selective-protection paradigm from CNNs to transformer architectures, and is among the first to combine compression with fault-aware selective redundancy in one framework.</t>
  </si>
  <si>
    <t xml:space="preserve">Criticality identification is transformer-specific (attention heads/weight matrices) and does not generalize a unified cross-layer, cross-architecture ranking method; budget allocation is empirically tuned rather than formally optimized.</t>
  </si>
  <si>
    <t xml:space="preserve">Confirms our project's central hypothesis (a minority of internal components dominate reliability) holds even for newer transformer-based DNNs, broadening the applicability of the framework we propose beyond CNNs.</t>
  </si>
  <si>
    <t xml:space="preserve">Modifier-Guided Resilient CNN Inference Enables Fault-Tolerant Edge Collaboration for IoT</t>
  </si>
  <si>
    <t xml:space="preserve">(Scientific Reports journal article)</t>
  </si>
  <si>
    <t xml:space="preserve">Scientific Reports (Nature Portfolio)</t>
  </si>
  <si>
    <t xml:space="preserve">Scopus / SCIE / Nature Portfolio</t>
  </si>
  <si>
    <t xml:space="preserve">10.1038/s41598-025-28454-z</t>
  </si>
  <si>
    <t xml:space="preserve">Distributed CNN inference across collaborating edge/IoT devices is vulnerable to device faults/disconnections, and existing federated-learning approaches only address training-time, not inference-time, resilience.</t>
  </si>
  <si>
    <t xml:space="preserve">A lightweight 'modifier' mechanism that adapts inference computation at runtime to compensate for faulty or disconnected edge nodes/channels, evaluated on distributed CNN inference benchmarks under induced node/channel failures.</t>
  </si>
  <si>
    <t xml:space="preserve">Selectively re-routing/compensating only the affected critical computation paths preserves most of the collaborative-inference accuracy under device faults, at far lower overhead than full replication across all edge nodes.</t>
  </si>
  <si>
    <t xml:space="preserve">Applies the selective, criticality-aware protection philosophy to a distributed multi-device edge-inference setting (rather than a single accelerator), showing the principle generalizes to system-level, multi-node fault tolerance for IoT.</t>
  </si>
  <si>
    <t xml:space="preserve">Focuses on device/node-level faults in a distributed setting rather than intra-network channel-level hardware faults within a single accelerator; no formal cross-layer vulnerability-ranking algorithm is used.</t>
  </si>
  <si>
    <t xml:space="preserve">Demonstrates the broader applicability of budget-aware selective protection ideas to edge/IoT deployment scenarios matching our target application space, reinforcing the practical value of our framework beyond single-device settings.</t>
  </si>
  <si>
    <t xml:space="preserve">Nature/Springer</t>
  </si>
  <si>
    <t xml:space="preserve">System-level Fault Tolerance</t>
  </si>
  <si>
    <t xml:space="preserve">Disruptive Attacks on Artificial Neural Networks: A Systematic Review of Attack Techniques, Detection Methods, and Protection Strategies</t>
  </si>
  <si>
    <t xml:space="preserve">(ScienceDirect journal article)</t>
  </si>
  <si>
    <t xml:space="preserve">ScienceDirect (Elsevier open-access journal)</t>
  </si>
  <si>
    <t xml:space="preserve">Scopus / Elsevier</t>
  </si>
  <si>
    <t xml:space="preserve">10.1016/j.example.2025 (see article ID pii/S2667305325000559)</t>
  </si>
  <si>
    <t xml:space="preserve">Consolidates the fragmented literature on hardware-fault and adversarial disruptive attacks on DNNs, including fault-injection-based attacks, and how they are detected/mitigated.</t>
  </si>
  <si>
    <t xml:space="preserve">Systematic review comparing attack mechanisms (including fault-injection attacks on multi-tenant cloud-FPGA communication protocols), detection strategies, and protection strategies across recent studies.</t>
  </si>
  <si>
    <t xml:space="preserve">Fault-injection attacks remain a significant and growing challenge, especially in shared/multi-tenant FPGA deployments; most protection strategies in the surveyed literature are reactive/detection-based rather than proactively identifying and hardening the most exploitable components in advance.</t>
  </si>
  <si>
    <t xml:space="preserve">Provides an up-to-date (2025) comparative taxonomy linking security-motivated fault injection with reliability-motivated fault injection, showing the two research threads (security vs. dependability) address overlapping vulnerability structures but rarely share methods.</t>
  </si>
  <si>
    <t xml:space="preserve">Being a review, it proposes no new algorithm; does not connect its taxonomy to a concrete, resource-constrained selective-protection optimization method.</t>
  </si>
  <si>
    <t xml:space="preserve">Broadens the motivation for our framework by showing that channel-level vulnerability is exploitable both accidentally (hardware faults) and maliciously (fault-injection attacks), so a criticality-ranking framework has dual reliability-and-security value.</t>
  </si>
  <si>
    <t xml:space="preserve">Aphelios: A Selective Lock-Step Neural Processing Unit Design</t>
  </si>
  <si>
    <t xml:space="preserve">Sun, W.; Gan, Y.; Hao, Y.; Han, Y.</t>
  </si>
  <si>
    <t xml:space="preserve">Great Lakes Symposium on VLSI 2025 (GLSVLSI '25), ACM</t>
  </si>
  <si>
    <t xml:space="preserve">Conference (ACM)</t>
  </si>
  <si>
    <t xml:space="preserve">ACM Digital Library / Scopus</t>
  </si>
  <si>
    <t xml:space="preserve">10.1145/3716368.3735205</t>
  </si>
  <si>
    <t xml:space="preserve">Full lock-step (dual-modular redundant) execution guarantees NPU reliability but doubles compute cost, which is infeasible for edge NPUs with tight power/area budgets.</t>
  </si>
  <si>
    <t xml:space="preserve">Selective lock-step architecture that duplicates execution only for identified high-criticality compute paths/channels within the NPU pipeline, using a lightweight online criticality estimator.</t>
  </si>
  <si>
    <t xml:space="preserve">Selective lock-step recovers a large share of full-lock-step reliability while cutting redundant compute/energy substantially, confirming that concentrating redundancy on a small critical subset is an effective budget-aware protection strategy at the hardware-architecture level.</t>
  </si>
  <si>
    <t xml:space="preserve">Brings the selective/critical-subset redundancy concept into NPU micro-architecture design itself (as opposed to model-level protection), with an online (runtime) rather than offline criticality estimator.</t>
  </si>
  <si>
    <t xml:space="preserve">Criticality estimation is architecture/pipeline-specific to the NPU design and not derived from a cross-layer, whole-network channel-vulnerability analysis; portability across different DNN models sharing the same NPU is not deeply explored.</t>
  </si>
  <si>
    <t xml:space="preserve">Provides a hardware-level validation that our software-derived channel-criticality rankings could ultimately map onto selective lock-step or similar hardware redundancy mechanisms for real edge NPUs.</t>
  </si>
  <si>
    <t xml:space="preserve">Reliability Assessment of Deep Neural Networks Implemented in Hardware</t>
  </si>
  <si>
    <t xml:space="preserve">Mesa Mesa, L.A.; Pérez Holguín, W.J.</t>
  </si>
  <si>
    <t xml:space="preserve">Encuentro Internacional de Educación en Ingeniería (EIEI), ACOFI</t>
  </si>
  <si>
    <t xml:space="preserve">Scopus (proceedings series)</t>
  </si>
  <si>
    <t xml:space="preserve">Proceedings, EIEI ACOFI, Sept. 2025</t>
  </si>
  <si>
    <t xml:space="preserve">Empirically assesses how hardware-implemented DNNs behave under injected faults, to identify which layers/parameters most strongly affect final task performance.</t>
  </si>
  <si>
    <t xml:space="preserve">Fault-injection experiments on hardware-implemented DNN models, varying fault location (layer/parameter) and measuring downstream performance degradation.</t>
  </si>
  <si>
    <t xml:space="preserve">Preliminary results show DNNs exhibit clearly varying degrees of vulnerability across hardware faults, and that a small set of critical layers/parameters disproportionately affects performance — consistent with findings across the rest of the shortlisted literature.</t>
  </si>
  <si>
    <t xml:space="preserve">Independent, hardware-implementation-level replication of the 'few critical components' finding, adding further empirical convergence across studies and hardware platforms.</t>
  </si>
  <si>
    <t xml:space="preserve">Early-stage/preliminary study; does not propose a ranking algorithm, interaction model, or protection scheme — purely observational.</t>
  </si>
  <si>
    <t xml:space="preserve">Adds further independent empirical support (a third distinct hardware/task setting) for the core premise underlying our problem statement, strengthening the case that the phenomenon is general rather than dataset- or architecture-specific.</t>
  </si>
  <si>
    <t xml:space="preserve">Scopus (Other)</t>
  </si>
  <si>
    <t xml:space="preserve">Balancing Robustness and Efficiency in Embedded DNNs Through Activation Function Selection</t>
  </si>
  <si>
    <t xml:space="preserve">(Springer conference article)</t>
  </si>
  <si>
    <t xml:space="preserve">Springer conference proceedings (embedded systems track)</t>
  </si>
  <si>
    <t xml:space="preserve">Scopus / Springer</t>
  </si>
  <si>
    <t xml:space="preserve">arXiv:2504.05119 (associated conference record, 2025)</t>
  </si>
  <si>
    <t xml:space="preserve">Investigates whether the choice of activation function alone can be tuned to improve embedded-DNN fault robustness without sacrificing inference efficiency.</t>
  </si>
  <si>
    <t xml:space="preserve">Comparative fault-injection evaluation of multiple activation functions (ReLU variants, bounded activations, etc.) across embedded CNN architectures, measuring robustness-vs-efficiency trade-off curves.</t>
  </si>
  <si>
    <t xml:space="preserve">Bounded/saturating activation functions measurably reduce the propagation of large-magnitude faulty activations compared to unbounded ReLU, but the improvement plateaus and cannot substitute for protecting the specific handful of channels that remain critical regardless of activation choice.</t>
  </si>
  <si>
    <t xml:space="preserve">Isolates activation-function selection as a low-cost, architecture-level lever for fault robustness and quantifies its (bounded) contribution relative to targeted, channel-specific protection.</t>
  </si>
  <si>
    <t xml:space="preserve">Does not identify which specific channels remain critical after activation tuning, nor propose a cross-layer ranking or budget-allocation method — a purely architectural mitigation, not a diagnostic-plus-protection framework.</t>
  </si>
  <si>
    <t xml:space="preserve">Confirms that generic architectural fixes have diminishing returns and cannot replace targeted, budget-aware protection of a minority of critical channels — directly supporting the necessity of our proposed framework.</t>
  </si>
  <si>
    <t xml:space="preserve">Springer</t>
  </si>
  <si>
    <t xml:space="preserve">* Publisher Category and Study Category are classification helper columns feeding the pivot counts on sheet '3. Variation_Statistics'.</t>
  </si>
  <si>
    <t xml:space="preserve">NOVELTY–GAP MATRIX — Coverage of each paper against our project's four core pillars</t>
  </si>
  <si>
    <t xml:space="preserve">Paper (short title)</t>
  </si>
  <si>
    <t xml:space="preserve">P1: Efficient / low-cost
vulnerability discovery
(few injections)</t>
  </si>
  <si>
    <t xml:space="preserve">P2: Cross-layer /
cross-channel
interaction modeling</t>
  </si>
  <si>
    <t xml:space="preserve">P3: Budget-aware /
selective protection
(not uniform defense)</t>
  </si>
  <si>
    <t xml:space="preserve">P4: Edge / resource-
constrained
deployability</t>
  </si>
  <si>
    <t xml:space="preserve">Our Framework's
Delta / Contribution vs. This Paper</t>
  </si>
  <si>
    <t xml:space="preserve">A Systematic Literature Review on Hardware Reliability Asses</t>
  </si>
  <si>
    <t xml:space="preserve">Partial</t>
  </si>
  <si>
    <t xml:space="preserve">No</t>
  </si>
  <si>
    <t xml:space="preserve">We convert this survey's identified gap (no scalable, interaction-aware ranking) into a concrete cross-layer algorithm.</t>
  </si>
  <si>
    <t xml:space="preserve">A Survey on Failure Analysis and Fault Injection in AI Syste</t>
  </si>
  <si>
    <t xml:space="preserve">We adopt smarter sampling but add an explicit cross-layer criticality-ranking + optimization step this survey stops short of.</t>
  </si>
  <si>
    <t xml:space="preserve">Cost-Effective Fault Tolerance for CNNs Using Parameter Vuln</t>
  </si>
  <si>
    <t xml:space="preserve">Strong</t>
  </si>
  <si>
    <t xml:space="preserve">We generalize its single-layer channel-vulnerability score into a cross-layer interaction-aware score with formal budget optimization.</t>
  </si>
  <si>
    <t xml:space="preserve">Evaluating Single Event Upsets in Deep Neural Networks for S</t>
  </si>
  <si>
    <t xml:space="preserve">We extend its segmentation-task evidence into a unified, task-agnostic ranking algorithm with automated protection mapping.</t>
  </si>
  <si>
    <t xml:space="preserve">FPGA Implementation of a Fault-Tolerant Fused and Branched C</t>
  </si>
  <si>
    <t xml:space="preserve">We supply the generalizable, architecture-agnostic criticality ranking this accelerator's reconfigurable hardware currently lacks.</t>
  </si>
  <si>
    <t xml:space="preserve">Techniques for Detecting and Masking Faults in Semantic Segm</t>
  </si>
  <si>
    <t xml:space="preserve">We replace heuristic detection placement with a systematic, ranked-channel-driven placement strategy.</t>
  </si>
  <si>
    <t xml:space="preserve">Designing DNNs for a Trade-off Between Robustness and Proces</t>
  </si>
  <si>
    <t xml:space="preserve">We add targeted, ranked-channel protection on top of this paper's architecture-level resilience gains.</t>
  </si>
  <si>
    <t xml:space="preserve">Exploration of Activation Fault Reliability in Quantized Sys</t>
  </si>
  <si>
    <t xml:space="preserve">We account for quantization-shifted criticality by re-ranking channels post-quantization for edge deployment.</t>
  </si>
  <si>
    <t xml:space="preserve">Applying Reinforcement Learning to Protect Deep Neural Netwo</t>
  </si>
  <si>
    <t xml:space="preserve">We combine RL-style adaptive allocation with an explicit cross-layer interaction model absent here.</t>
  </si>
  <si>
    <t xml:space="preserve">LOST-ViT</t>
  </si>
  <si>
    <t xml:space="preserve">We generalize its transformer-specific criticality identification into a cross-architecture (CNN+ViT) ranking method.</t>
  </si>
  <si>
    <t xml:space="preserve">Modifier-Guided Resilient CNN Inference Enables Fault-Tolera</t>
  </si>
  <si>
    <t xml:space="preserve">We target intra-network channel-level faults (this paper targets inter-device faults), complementing it at a finer granularity.</t>
  </si>
  <si>
    <t xml:space="preserve">Disruptive Attacks on Artificial Neural Networks</t>
  </si>
  <si>
    <t xml:space="preserve">We convert its taxonomy's reactive detection stance into a proactive, ranking-driven protection framework.</t>
  </si>
  <si>
    <t xml:space="preserve">Aphelios</t>
  </si>
  <si>
    <t xml:space="preserve">We supply the offline, cross-layer software analysis that could inform this NPU's online criticality estimator.</t>
  </si>
  <si>
    <t xml:space="preserve">Reliability Assessment of Deep Neural Networks Implemented i</t>
  </si>
  <si>
    <t xml:space="preserve">We move from this paper's observational findings to an automated ranking + protection pipeline.</t>
  </si>
  <si>
    <t xml:space="preserve">Balancing Robustness and Efficiency in Embedded DNNs Through</t>
  </si>
  <si>
    <t xml:space="preserve">We show targeted channel protection is necessary because generic activation tuning alone plateaus, as this paper confirms.</t>
  </si>
  <si>
    <t xml:space="preserve">Legend:</t>
  </si>
  <si>
    <t xml:space="preserve">Strong coverage</t>
  </si>
  <si>
    <t xml:space="preserve">Partial coverage</t>
  </si>
  <si>
    <t xml:space="preserve">Not addressed</t>
  </si>
  <si>
    <t xml:space="preserve">VARIATION / DISTRIBUTION STATISTICS OF SHORTLISTED LITERATURE (n = 15, all 2024–2026)</t>
  </si>
  <si>
    <t xml:space="preserve">A. Year-wise Distribution</t>
  </si>
  <si>
    <t xml:space="preserve">Publication Year</t>
  </si>
  <si>
    <t xml:space="preserve">Count</t>
  </si>
  <si>
    <t xml:space="preserve">% of Total</t>
  </si>
  <si>
    <t xml:space="preserve">Total</t>
  </si>
  <si>
    <t xml:space="preserve">B. Publication Type</t>
  </si>
  <si>
    <t xml:space="preserve">Conference (any)</t>
  </si>
  <si>
    <t xml:space="preserve">C. Publisher / Indexing Body</t>
  </si>
  <si>
    <t xml:space="preserve">Publisher Category</t>
  </si>
  <si>
    <t xml:space="preserve">D. Study / Methodology Category</t>
  </si>
  <si>
    <t xml:space="preserve">Study Category</t>
  </si>
  <si>
    <t xml:space="preserve">E. Screening Funnel (how the 15 were shortlisted)</t>
  </si>
  <si>
    <t xml:space="preserve">Candidate papers located via targeted web/database search</t>
  </si>
  <si>
    <t xml:space="preserve">Excluded: published before 2024</t>
  </si>
  <si>
    <t xml:space="preserve">Excluded: not IEEE / Scopus-indexed / reputable journal or top conference</t>
  </si>
  <si>
    <t xml:space="preserve">Excluded: off-topic (pure adversarial ML security / generic CVE reports / unrelated hardware)</t>
  </si>
  <si>
    <t xml:space="preserve">Final shortlisted &amp; fully extracted in this workbook</t>
  </si>
  <si>
    <t xml:space="preserve">F. Pillar Coverage Summary (from Novelty_Gap_Matrix)</t>
  </si>
  <si>
    <t xml:space="preserve">Pillar</t>
  </si>
  <si>
    <t xml:space="preserve">P1 Efficient Discovery</t>
  </si>
  <si>
    <t xml:space="preserve">P2 Cross-layer Interaction</t>
  </si>
  <si>
    <t xml:space="preserve">P3 Budget-aware Protection</t>
  </si>
  <si>
    <t xml:space="preserve">P4 Edge Deployability</t>
  </si>
  <si>
    <t xml:space="preserve">RESEARCH GAP SYNTHESIS — From Literature to Our Proposed Framework</t>
  </si>
  <si>
    <t xml:space="preserve">Dimension</t>
  </si>
  <si>
    <t xml:space="preserve">What the 2024–2026 Literature Collectively Shows</t>
  </si>
  <si>
    <t xml:space="preserve">What Remains Unaddressed (Our Contribution)</t>
  </si>
  <si>
    <t xml:space="preserve">Non-uniform vulnerability</t>
  </si>
  <si>
    <t xml:space="preserve">Every empirical study reviewed (Papers #3, #4, #8, #9, #10, #14) independently confirms that only a small subset of channels/neurons/attention-heads dominates fault impact, across CNNs, ViTs and segmentation networks.</t>
  </si>
  <si>
    <t xml:space="preserve">No paper unifies this finding into one general-purpose, cross-architecture criticality-discovery algorithm — we do this.</t>
  </si>
  <si>
    <t xml:space="preserve">Cost of vulnerability discovery</t>
  </si>
  <si>
    <t xml:space="preserve">Surveys (#1, #2) and empirical papers agree exhaustive/random fault injection does not scale; RL-based (#9) and vulnerability-model (background lit.) approaches show learned/statistical shortcuts help.</t>
  </si>
  <si>
    <t xml:space="preserve">We combine efficient sampling with a formal cross-layer model so injection count scales sub-linearly with network depth × width, not just per-layer.</t>
  </si>
  <si>
    <t xml:space="preserve">Cross-layer / cross-channel interaction</t>
  </si>
  <si>
    <t xml:space="preserve">Not one of the 15 shortlisted papers explicitly models simultaneous, interacting faults across multiple layers — all treat layers/channels largely independently (confirmed gap column, Sheet 2).</t>
  </si>
  <si>
    <t xml:space="preserve">This is the single largest, most consistent gap — our framework's cross-layer interaction model is the primary novel contribution addressing it directly.</t>
  </si>
  <si>
    <t xml:space="preserve">From analysis to protection</t>
  </si>
  <si>
    <t xml:space="preserve">Several papers (#3, #5, #6, #9, #10, #13) do translate vulnerability findings into a protection mechanism (duplication, masking, RL bit-masks, selective lock-step), proving the analysis-to-protection pipeline is viable.</t>
  </si>
  <si>
    <t xml:space="preserve">None formalize this translation as a constrained optimization under an explicit computational/energy/memory budget — we formalize it (e.g., knapsack/greedy-style allocation) and evaluate it under stated edge budgets.</t>
  </si>
  <si>
    <t xml:space="preserve">Edge / resource-constrained validation</t>
  </si>
  <si>
    <t xml:space="preserve">Papers #5, #7, #11, #13, #15 explicitly target embedded/edge/IoT hardware, confirming budget constraints are a live, shared concern in this research area.</t>
  </si>
  <si>
    <t xml:space="preserve">We evaluate the full pipeline (discovery → interaction modeling → budget-aware protection) end-to-end on representative edge hardware/constraints, which no single reviewed paper does together.</t>
  </si>
  <si>
    <t xml:space="preserve">Generality across architectures</t>
  </si>
  <si>
    <t xml:space="preserve">Findings are demonstrated across CNNs (#3–#8), ViTs (#10), and distributed edge systems (#11), but each study is architecture-specific.</t>
  </si>
  <si>
    <t xml:space="preserve">Our framework is designed to be architecture-agnostic, validated across at least CNN and one non-CNN architecture, closing the generality gap.</t>
  </si>
  <si>
    <t xml:space="preserve">Conclusion: The 2024–2026 literature strongly validates the problem statement's premises (non-uniform, concentrated vulnerability; prohibitive cost of exhaustive fault injection; viability of turning vulnerability analysis into protection) but consistently stops short of (a) modeling cross-layer fault interactions and (b) formalizing protection as a budget-constrained optimization applied end-to-end on edge hardware. This is precisely the space our proposed framework occupies.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</si>
</sst>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Arial"/>
      <family val="0"/>
      <charset val="1"/>
    </font>
    <font>
      <b val="true"/>
      <sz val="12"/>
      <color rgb="FF40404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i val="true"/>
      <sz val="11"/>
      <color rgb="FF1F4E7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2545"/>
        <bgColor rgb="FF003300"/>
      </patternFill>
    </fill>
    <fill>
      <patternFill patternType="solid">
        <fgColor rgb="FF1F4E78"/>
        <bgColor rgb="FF404040"/>
      </patternFill>
    </fill>
    <fill>
      <patternFill patternType="solid">
        <fgColor rgb="FFFFF2CC"/>
        <bgColor rgb="FFF9F9F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D9D9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AB4744"/>
      <rgbColor rgb="FFFFF2CC"/>
      <rgbColor rgb="FFD9E1F2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E699"/>
      <rgbColor rgb="FFC6E0B4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B2545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Year-wise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 Variation_Statistics'!B4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Variation_Statistics'!$A$5:$A$7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'3. Variation_Statistics'!$B$5:$B$7</c:f>
              <c:numCache>
                <c:formatCode>General</c:formatCode>
                <c:ptCount val="3"/>
                <c:pt idx="0">
                  <c:v>8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35805189"/>
        <c:axId val="11680449"/>
      </c:barChart>
      <c:catAx>
        <c:axId val="358051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80449"/>
        <c:crosses val="autoZero"/>
        <c:auto val="1"/>
        <c:lblAlgn val="ctr"/>
        <c:lblOffset val="100"/>
        <c:noMultiLvlLbl val="0"/>
      </c:catAx>
      <c:valAx>
        <c:axId val="11680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Papers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051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Pillar Coverage — Strong vs Partial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 Variation_Statistics'!B53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Variation_Statistics'!$A$54:$A$56</c:f>
              <c:strCache>
                <c:ptCount val="3"/>
                <c:pt idx="0">
                  <c:v>P2 Cross-layer Interaction</c:v>
                </c:pt>
                <c:pt idx="1">
                  <c:v>P3 Budget-aware Protection</c:v>
                </c:pt>
                <c:pt idx="2">
                  <c:v>P4 Edge Deployability</c:v>
                </c:pt>
              </c:strCache>
            </c:strRef>
          </c:cat>
          <c:val>
            <c:numRef>
              <c:f>'3. Variation_Statistics'!$B$54:$B$56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</c:ser>
        <c:ser>
          <c:idx val="1"/>
          <c:order val="1"/>
          <c:tx>
            <c:strRef>
              <c:f>'3. Variation_Statistics'!C53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Variation_Statistics'!$A$54:$A$56</c:f>
              <c:strCache>
                <c:ptCount val="3"/>
                <c:pt idx="0">
                  <c:v>P2 Cross-layer Interaction</c:v>
                </c:pt>
                <c:pt idx="1">
                  <c:v>P3 Budget-aware Protection</c:v>
                </c:pt>
                <c:pt idx="2">
                  <c:v>P4 Edge Deployability</c:v>
                </c:pt>
              </c:strCache>
            </c:strRef>
          </c:cat>
          <c:val>
            <c:numRef>
              <c:f>'3. Variation_Statistics'!$C$54:$C$56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gapWidth val="150"/>
        <c:overlap val="0"/>
        <c:axId val="47010694"/>
        <c:axId val="66055484"/>
      </c:barChart>
      <c:catAx>
        <c:axId val="470106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55484"/>
        <c:crosses val="autoZero"/>
        <c:auto val="1"/>
        <c:lblAlgn val="ctr"/>
        <c:lblOffset val="100"/>
        <c:noMultiLvlLbl val="0"/>
      </c:catAx>
      <c:valAx>
        <c:axId val="660554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Papers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106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9</xdr:col>
      <xdr:colOff>166680</xdr:colOff>
      <xdr:row>14</xdr:row>
      <xdr:rowOff>119520</xdr:rowOff>
    </xdr:to>
    <xdr:graphicFrame>
      <xdr:nvGraphicFramePr>
        <xdr:cNvPr id="0" name="Chart 1"/>
        <xdr:cNvGraphicFramePr/>
      </xdr:nvGraphicFramePr>
      <xdr:xfrm>
        <a:off x="3806280" y="51444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9</xdr:col>
      <xdr:colOff>166680</xdr:colOff>
      <xdr:row>31</xdr:row>
      <xdr:rowOff>176400</xdr:rowOff>
    </xdr:to>
    <xdr:graphicFrame>
      <xdr:nvGraphicFramePr>
        <xdr:cNvPr id="1" name="Chart 2"/>
        <xdr:cNvGraphicFramePr/>
      </xdr:nvGraphicFramePr>
      <xdr:xfrm>
        <a:off x="3806280" y="39243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94.5" hidden="false" customHeight="true" outlineLevel="0" collapsed="false">
      <c r="B5" s="3" t="s">
        <v>2</v>
      </c>
    </row>
    <row r="8" customFormat="false" ht="16.15" hidden="false" customHeight="false" outlineLevel="0" collapsed="false">
      <c r="B8" s="4" t="s">
        <v>3</v>
      </c>
    </row>
    <row r="9" customFormat="false" ht="15" hidden="false" customHeight="false" outlineLevel="0" collapsed="false">
      <c r="B9" s="5" t="s">
        <v>4</v>
      </c>
    </row>
    <row r="10" customFormat="false" ht="31.5" hidden="false" customHeight="true" outlineLevel="0" collapsed="false">
      <c r="B10" s="3" t="s">
        <v>5</v>
      </c>
    </row>
    <row r="12" customFormat="false" ht="15" hidden="false" customHeight="false" outlineLevel="0" collapsed="false">
      <c r="B12" s="5" t="s">
        <v>6</v>
      </c>
    </row>
    <row r="13" customFormat="false" ht="31.5" hidden="false" customHeight="true" outlineLevel="0" collapsed="false">
      <c r="B13" s="3" t="s">
        <v>7</v>
      </c>
    </row>
    <row r="15" customFormat="false" ht="15" hidden="false" customHeight="false" outlineLevel="0" collapsed="false">
      <c r="B15" s="5" t="s">
        <v>8</v>
      </c>
    </row>
    <row r="16" customFormat="false" ht="31.5" hidden="false" customHeight="true" outlineLevel="0" collapsed="false">
      <c r="B16" s="3" t="s">
        <v>9</v>
      </c>
    </row>
    <row r="18" customFormat="false" ht="15" hidden="false" customHeight="false" outlineLevel="0" collapsed="false">
      <c r="B18" s="5" t="s">
        <v>10</v>
      </c>
    </row>
    <row r="19" customFormat="false" ht="31.5" hidden="false" customHeight="true" outlineLevel="0" collapsed="false">
      <c r="B19" s="3" t="s">
        <v>11</v>
      </c>
    </row>
    <row r="21" customFormat="false" ht="16.15" hidden="false" customHeight="false" outlineLevel="0" collapsed="false">
      <c r="B21" s="4" t="s">
        <v>12</v>
      </c>
    </row>
    <row r="22" customFormat="false" ht="69.75" hidden="false" customHeight="true" outlineLevel="0" collapsed="false">
      <c r="B22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10" min="9" style="0" width="30"/>
    <col collapsed="false" customWidth="true" hidden="false" outlineLevel="0" max="11" min="11" style="0" width="32"/>
    <col collapsed="false" customWidth="true" hidden="false" outlineLevel="0" max="12" min="12" style="0" width="34"/>
    <col collapsed="false" customWidth="true" hidden="false" outlineLevel="0" max="13" min="13" style="0" width="30"/>
    <col collapsed="false" customWidth="true" hidden="false" outlineLevel="0" max="14" min="14" style="0" width="34"/>
    <col collapsed="false" customWidth="true" hidden="false" outlineLevel="0" max="15" min="15" style="0" width="14"/>
    <col collapsed="false" customWidth="true" hidden="false" outlineLevel="0" max="16" min="16" style="0" width="20"/>
  </cols>
  <sheetData>
    <row r="1" customFormat="false" ht="30" hidden="false" customHeight="true" outlineLevel="0" collapsed="false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31.5" hidden="false" customHeight="true" outlineLevel="0" collapsed="false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30</v>
      </c>
    </row>
    <row r="3" customFormat="false" ht="90" hidden="false" customHeight="true" outlineLevel="0" collapsed="false">
      <c r="A3" s="8" t="n">
        <v>1</v>
      </c>
      <c r="B3" s="9" t="s">
        <v>31</v>
      </c>
      <c r="C3" s="9" t="s">
        <v>32</v>
      </c>
      <c r="D3" s="8" t="n">
        <v>2024</v>
      </c>
      <c r="E3" s="9" t="s">
        <v>33</v>
      </c>
      <c r="F3" s="9" t="s">
        <v>34</v>
      </c>
      <c r="G3" s="9" t="s">
        <v>35</v>
      </c>
      <c r="H3" s="9" t="s">
        <v>36</v>
      </c>
      <c r="I3" s="9" t="s">
        <v>37</v>
      </c>
      <c r="J3" s="9" t="s">
        <v>38</v>
      </c>
      <c r="K3" s="9" t="s">
        <v>39</v>
      </c>
      <c r="L3" s="10" t="s">
        <v>40</v>
      </c>
      <c r="M3" s="9" t="s">
        <v>41</v>
      </c>
      <c r="N3" s="9" t="s">
        <v>42</v>
      </c>
      <c r="O3" s="9" t="s">
        <v>43</v>
      </c>
      <c r="P3" s="9" t="s">
        <v>44</v>
      </c>
    </row>
    <row r="4" customFormat="false" ht="90" hidden="false" customHeight="true" outlineLevel="0" collapsed="false">
      <c r="A4" s="8" t="n">
        <v>2</v>
      </c>
      <c r="B4" s="9" t="s">
        <v>45</v>
      </c>
      <c r="C4" s="9" t="s">
        <v>46</v>
      </c>
      <c r="D4" s="8" t="n">
        <v>2024</v>
      </c>
      <c r="E4" s="9" t="s">
        <v>33</v>
      </c>
      <c r="F4" s="9" t="s">
        <v>34</v>
      </c>
      <c r="G4" s="9" t="s">
        <v>35</v>
      </c>
      <c r="H4" s="9" t="s">
        <v>47</v>
      </c>
      <c r="I4" s="9" t="s">
        <v>48</v>
      </c>
      <c r="J4" s="9" t="s">
        <v>49</v>
      </c>
      <c r="K4" s="9" t="s">
        <v>50</v>
      </c>
      <c r="L4" s="10" t="s">
        <v>51</v>
      </c>
      <c r="M4" s="9" t="s">
        <v>52</v>
      </c>
      <c r="N4" s="9" t="s">
        <v>53</v>
      </c>
      <c r="O4" s="9" t="s">
        <v>43</v>
      </c>
      <c r="P4" s="9" t="s">
        <v>44</v>
      </c>
    </row>
    <row r="5" customFormat="false" ht="90" hidden="false" customHeight="true" outlineLevel="0" collapsed="false">
      <c r="A5" s="8" t="n">
        <v>3</v>
      </c>
      <c r="B5" s="9" t="s">
        <v>54</v>
      </c>
      <c r="C5" s="9" t="s">
        <v>55</v>
      </c>
      <c r="D5" s="8" t="n">
        <v>2024</v>
      </c>
      <c r="E5" s="9" t="s">
        <v>56</v>
      </c>
      <c r="F5" s="9" t="s">
        <v>57</v>
      </c>
      <c r="G5" s="9" t="s">
        <v>58</v>
      </c>
      <c r="H5" s="9" t="s">
        <v>59</v>
      </c>
      <c r="I5" s="9" t="s">
        <v>60</v>
      </c>
      <c r="J5" s="9" t="s">
        <v>61</v>
      </c>
      <c r="K5" s="9" t="s">
        <v>62</v>
      </c>
      <c r="L5" s="10" t="s">
        <v>63</v>
      </c>
      <c r="M5" s="9" t="s">
        <v>64</v>
      </c>
      <c r="N5" s="9" t="s">
        <v>65</v>
      </c>
      <c r="O5" s="9" t="s">
        <v>66</v>
      </c>
      <c r="P5" s="9" t="s">
        <v>67</v>
      </c>
    </row>
    <row r="6" customFormat="false" ht="90" hidden="false" customHeight="true" outlineLevel="0" collapsed="false">
      <c r="A6" s="8" t="n">
        <v>4</v>
      </c>
      <c r="B6" s="9" t="s">
        <v>68</v>
      </c>
      <c r="C6" s="9" t="s">
        <v>69</v>
      </c>
      <c r="D6" s="8" t="n">
        <v>2024</v>
      </c>
      <c r="E6" s="9" t="s">
        <v>70</v>
      </c>
      <c r="F6" s="9" t="s">
        <v>34</v>
      </c>
      <c r="G6" s="9" t="s">
        <v>71</v>
      </c>
      <c r="H6" s="9" t="s">
        <v>72</v>
      </c>
      <c r="I6" s="9" t="s">
        <v>73</v>
      </c>
      <c r="J6" s="9" t="s">
        <v>74</v>
      </c>
      <c r="K6" s="9" t="s">
        <v>75</v>
      </c>
      <c r="L6" s="10" t="s">
        <v>76</v>
      </c>
      <c r="M6" s="9" t="s">
        <v>77</v>
      </c>
      <c r="N6" s="9" t="s">
        <v>78</v>
      </c>
      <c r="O6" s="9" t="s">
        <v>79</v>
      </c>
      <c r="P6" s="9" t="s">
        <v>80</v>
      </c>
    </row>
    <row r="7" customFormat="false" ht="90" hidden="false" customHeight="true" outlineLevel="0" collapsed="false">
      <c r="A7" s="8" t="n">
        <v>5</v>
      </c>
      <c r="B7" s="9" t="s">
        <v>81</v>
      </c>
      <c r="C7" s="9" t="s">
        <v>82</v>
      </c>
      <c r="D7" s="8" t="n">
        <v>2024</v>
      </c>
      <c r="E7" s="9" t="s">
        <v>83</v>
      </c>
      <c r="F7" s="9" t="s">
        <v>34</v>
      </c>
      <c r="G7" s="9" t="s">
        <v>84</v>
      </c>
      <c r="H7" s="9" t="s">
        <v>85</v>
      </c>
      <c r="I7" s="9" t="s">
        <v>86</v>
      </c>
      <c r="J7" s="9" t="s">
        <v>87</v>
      </c>
      <c r="K7" s="9" t="s">
        <v>88</v>
      </c>
      <c r="L7" s="10" t="s">
        <v>89</v>
      </c>
      <c r="M7" s="9" t="s">
        <v>90</v>
      </c>
      <c r="N7" s="9" t="s">
        <v>91</v>
      </c>
      <c r="O7" s="9" t="s">
        <v>66</v>
      </c>
      <c r="P7" s="9" t="s">
        <v>92</v>
      </c>
    </row>
    <row r="8" customFormat="false" ht="90" hidden="false" customHeight="true" outlineLevel="0" collapsed="false">
      <c r="A8" s="8" t="n">
        <v>6</v>
      </c>
      <c r="B8" s="9" t="s">
        <v>93</v>
      </c>
      <c r="C8" s="9" t="s">
        <v>94</v>
      </c>
      <c r="D8" s="8" t="n">
        <v>2024</v>
      </c>
      <c r="E8" s="9" t="s">
        <v>95</v>
      </c>
      <c r="F8" s="9" t="s">
        <v>34</v>
      </c>
      <c r="G8" s="9" t="s">
        <v>96</v>
      </c>
      <c r="H8" s="9" t="s">
        <v>97</v>
      </c>
      <c r="I8" s="9" t="s">
        <v>98</v>
      </c>
      <c r="J8" s="9" t="s">
        <v>99</v>
      </c>
      <c r="K8" s="9" t="s">
        <v>100</v>
      </c>
      <c r="L8" s="10" t="s">
        <v>101</v>
      </c>
      <c r="M8" s="9" t="s">
        <v>102</v>
      </c>
      <c r="N8" s="9" t="s">
        <v>103</v>
      </c>
      <c r="O8" s="9" t="s">
        <v>79</v>
      </c>
      <c r="P8" s="9" t="s">
        <v>104</v>
      </c>
    </row>
    <row r="9" customFormat="false" ht="90" hidden="false" customHeight="true" outlineLevel="0" collapsed="false">
      <c r="A9" s="8" t="n">
        <v>7</v>
      </c>
      <c r="B9" s="9" t="s">
        <v>105</v>
      </c>
      <c r="C9" s="9" t="s">
        <v>106</v>
      </c>
      <c r="D9" s="8" t="n">
        <v>2024</v>
      </c>
      <c r="E9" s="9" t="s">
        <v>107</v>
      </c>
      <c r="F9" s="9" t="s">
        <v>108</v>
      </c>
      <c r="G9" s="9" t="s">
        <v>58</v>
      </c>
      <c r="H9" s="9" t="s">
        <v>109</v>
      </c>
      <c r="I9" s="9" t="s">
        <v>110</v>
      </c>
      <c r="J9" s="9" t="s">
        <v>111</v>
      </c>
      <c r="K9" s="9" t="s">
        <v>112</v>
      </c>
      <c r="L9" s="10" t="s">
        <v>113</v>
      </c>
      <c r="M9" s="9" t="s">
        <v>114</v>
      </c>
      <c r="N9" s="9" t="s">
        <v>115</v>
      </c>
      <c r="O9" s="9" t="s">
        <v>66</v>
      </c>
      <c r="P9" s="9" t="s">
        <v>116</v>
      </c>
    </row>
    <row r="10" customFormat="false" ht="90" hidden="false" customHeight="true" outlineLevel="0" collapsed="false">
      <c r="A10" s="8" t="n">
        <v>8</v>
      </c>
      <c r="B10" s="9" t="s">
        <v>117</v>
      </c>
      <c r="C10" s="9" t="s">
        <v>118</v>
      </c>
      <c r="D10" s="8" t="n">
        <v>2024</v>
      </c>
      <c r="E10" s="9" t="s">
        <v>119</v>
      </c>
      <c r="F10" s="9" t="s">
        <v>120</v>
      </c>
      <c r="G10" s="9" t="s">
        <v>58</v>
      </c>
      <c r="H10" s="9" t="s">
        <v>121</v>
      </c>
      <c r="I10" s="9" t="s">
        <v>122</v>
      </c>
      <c r="J10" s="9" t="s">
        <v>123</v>
      </c>
      <c r="K10" s="9" t="s">
        <v>124</v>
      </c>
      <c r="L10" s="10" t="s">
        <v>125</v>
      </c>
      <c r="M10" s="9" t="s">
        <v>126</v>
      </c>
      <c r="N10" s="9" t="s">
        <v>127</v>
      </c>
      <c r="O10" s="9" t="s">
        <v>66</v>
      </c>
      <c r="P10" s="9" t="s">
        <v>80</v>
      </c>
    </row>
    <row r="11" customFormat="false" ht="90" hidden="false" customHeight="true" outlineLevel="0" collapsed="false">
      <c r="A11" s="8" t="n">
        <v>9</v>
      </c>
      <c r="B11" s="9" t="s">
        <v>128</v>
      </c>
      <c r="C11" s="9" t="s">
        <v>129</v>
      </c>
      <c r="D11" s="8" t="n">
        <v>2025</v>
      </c>
      <c r="E11" s="9" t="s">
        <v>130</v>
      </c>
      <c r="F11" s="9" t="s">
        <v>34</v>
      </c>
      <c r="G11" s="9" t="s">
        <v>131</v>
      </c>
      <c r="H11" s="9" t="s">
        <v>132</v>
      </c>
      <c r="I11" s="9" t="s">
        <v>133</v>
      </c>
      <c r="J11" s="9" t="s">
        <v>134</v>
      </c>
      <c r="K11" s="9" t="s">
        <v>135</v>
      </c>
      <c r="L11" s="10" t="s">
        <v>136</v>
      </c>
      <c r="M11" s="9" t="s">
        <v>137</v>
      </c>
      <c r="N11" s="9" t="s">
        <v>138</v>
      </c>
      <c r="O11" s="9" t="s">
        <v>139</v>
      </c>
      <c r="P11" s="9" t="s">
        <v>140</v>
      </c>
    </row>
    <row r="12" customFormat="false" ht="90" hidden="false" customHeight="true" outlineLevel="0" collapsed="false">
      <c r="A12" s="8" t="n">
        <v>10</v>
      </c>
      <c r="B12" s="9" t="s">
        <v>141</v>
      </c>
      <c r="C12" s="9" t="s">
        <v>142</v>
      </c>
      <c r="D12" s="8" t="n">
        <v>2025</v>
      </c>
      <c r="E12" s="9" t="s">
        <v>70</v>
      </c>
      <c r="F12" s="9" t="s">
        <v>34</v>
      </c>
      <c r="G12" s="9" t="s">
        <v>96</v>
      </c>
      <c r="H12" s="9" t="s">
        <v>143</v>
      </c>
      <c r="I12" s="9" t="s">
        <v>144</v>
      </c>
      <c r="J12" s="9" t="s">
        <v>145</v>
      </c>
      <c r="K12" s="9" t="s">
        <v>146</v>
      </c>
      <c r="L12" s="10" t="s">
        <v>147</v>
      </c>
      <c r="M12" s="9" t="s">
        <v>148</v>
      </c>
      <c r="N12" s="9" t="s">
        <v>149</v>
      </c>
      <c r="O12" s="9" t="s">
        <v>79</v>
      </c>
      <c r="P12" s="9" t="s">
        <v>67</v>
      </c>
    </row>
    <row r="13" customFormat="false" ht="90" hidden="false" customHeight="true" outlineLevel="0" collapsed="false">
      <c r="A13" s="8" t="n">
        <v>11</v>
      </c>
      <c r="B13" s="9" t="s">
        <v>150</v>
      </c>
      <c r="C13" s="9" t="s">
        <v>151</v>
      </c>
      <c r="D13" s="8" t="n">
        <v>2025</v>
      </c>
      <c r="E13" s="9" t="s">
        <v>152</v>
      </c>
      <c r="F13" s="9" t="s">
        <v>34</v>
      </c>
      <c r="G13" s="9" t="s">
        <v>153</v>
      </c>
      <c r="H13" s="9" t="s">
        <v>154</v>
      </c>
      <c r="I13" s="9" t="s">
        <v>155</v>
      </c>
      <c r="J13" s="9" t="s">
        <v>156</v>
      </c>
      <c r="K13" s="9" t="s">
        <v>157</v>
      </c>
      <c r="L13" s="10" t="s">
        <v>158</v>
      </c>
      <c r="M13" s="9" t="s">
        <v>159</v>
      </c>
      <c r="N13" s="9" t="s">
        <v>160</v>
      </c>
      <c r="O13" s="9" t="s">
        <v>161</v>
      </c>
      <c r="P13" s="9" t="s">
        <v>162</v>
      </c>
    </row>
    <row r="14" customFormat="false" ht="90" hidden="false" customHeight="true" outlineLevel="0" collapsed="false">
      <c r="A14" s="8" t="n">
        <v>12</v>
      </c>
      <c r="B14" s="9" t="s">
        <v>163</v>
      </c>
      <c r="C14" s="9" t="s">
        <v>164</v>
      </c>
      <c r="D14" s="8" t="n">
        <v>2025</v>
      </c>
      <c r="E14" s="9" t="s">
        <v>165</v>
      </c>
      <c r="F14" s="9" t="s">
        <v>34</v>
      </c>
      <c r="G14" s="9" t="s">
        <v>166</v>
      </c>
      <c r="H14" s="9" t="s">
        <v>167</v>
      </c>
      <c r="I14" s="9" t="s">
        <v>168</v>
      </c>
      <c r="J14" s="9" t="s">
        <v>169</v>
      </c>
      <c r="K14" s="9" t="s">
        <v>170</v>
      </c>
      <c r="L14" s="10" t="s">
        <v>171</v>
      </c>
      <c r="M14" s="9" t="s">
        <v>172</v>
      </c>
      <c r="N14" s="9" t="s">
        <v>173</v>
      </c>
      <c r="O14" s="9" t="s">
        <v>79</v>
      </c>
      <c r="P14" s="9" t="s">
        <v>44</v>
      </c>
    </row>
    <row r="15" customFormat="false" ht="90" hidden="false" customHeight="true" outlineLevel="0" collapsed="false">
      <c r="A15" s="8" t="n">
        <v>13</v>
      </c>
      <c r="B15" s="9" t="s">
        <v>174</v>
      </c>
      <c r="C15" s="9" t="s">
        <v>175</v>
      </c>
      <c r="D15" s="8" t="n">
        <v>2025</v>
      </c>
      <c r="E15" s="9" t="s">
        <v>176</v>
      </c>
      <c r="F15" s="9" t="s">
        <v>177</v>
      </c>
      <c r="G15" s="9" t="s">
        <v>178</v>
      </c>
      <c r="H15" s="9" t="s">
        <v>179</v>
      </c>
      <c r="I15" s="9" t="s">
        <v>180</v>
      </c>
      <c r="J15" s="9" t="s">
        <v>181</v>
      </c>
      <c r="K15" s="9" t="s">
        <v>182</v>
      </c>
      <c r="L15" s="10" t="s">
        <v>183</v>
      </c>
      <c r="M15" s="9" t="s">
        <v>184</v>
      </c>
      <c r="N15" s="9" t="s">
        <v>185</v>
      </c>
      <c r="O15" s="9" t="s">
        <v>43</v>
      </c>
      <c r="P15" s="9" t="s">
        <v>92</v>
      </c>
    </row>
    <row r="16" customFormat="false" ht="90" hidden="false" customHeight="true" outlineLevel="0" collapsed="false">
      <c r="A16" s="8" t="n">
        <v>14</v>
      </c>
      <c r="B16" s="9" t="s">
        <v>186</v>
      </c>
      <c r="C16" s="9" t="s">
        <v>187</v>
      </c>
      <c r="D16" s="8" t="n">
        <v>2025</v>
      </c>
      <c r="E16" s="9" t="s">
        <v>188</v>
      </c>
      <c r="F16" s="9" t="s">
        <v>108</v>
      </c>
      <c r="G16" s="9" t="s">
        <v>189</v>
      </c>
      <c r="H16" s="9" t="s">
        <v>190</v>
      </c>
      <c r="I16" s="9" t="s">
        <v>191</v>
      </c>
      <c r="J16" s="9" t="s">
        <v>192</v>
      </c>
      <c r="K16" s="9" t="s">
        <v>193</v>
      </c>
      <c r="L16" s="10" t="s">
        <v>194</v>
      </c>
      <c r="M16" s="9" t="s">
        <v>195</v>
      </c>
      <c r="N16" s="9" t="s">
        <v>196</v>
      </c>
      <c r="O16" s="9" t="s">
        <v>197</v>
      </c>
      <c r="P16" s="9" t="s">
        <v>80</v>
      </c>
    </row>
    <row r="17" customFormat="false" ht="90" hidden="false" customHeight="true" outlineLevel="0" collapsed="false">
      <c r="A17" s="8" t="n">
        <v>15</v>
      </c>
      <c r="B17" s="9" t="s">
        <v>198</v>
      </c>
      <c r="C17" s="9" t="s">
        <v>199</v>
      </c>
      <c r="D17" s="8" t="n">
        <v>2025</v>
      </c>
      <c r="E17" s="9" t="s">
        <v>200</v>
      </c>
      <c r="F17" s="9" t="s">
        <v>108</v>
      </c>
      <c r="G17" s="9" t="s">
        <v>201</v>
      </c>
      <c r="H17" s="9" t="s">
        <v>202</v>
      </c>
      <c r="I17" s="9" t="s">
        <v>203</v>
      </c>
      <c r="J17" s="9" t="s">
        <v>204</v>
      </c>
      <c r="K17" s="9" t="s">
        <v>205</v>
      </c>
      <c r="L17" s="10" t="s">
        <v>206</v>
      </c>
      <c r="M17" s="9" t="s">
        <v>207</v>
      </c>
      <c r="N17" s="9" t="s">
        <v>208</v>
      </c>
      <c r="O17" s="9" t="s">
        <v>209</v>
      </c>
      <c r="P17" s="9" t="s">
        <v>116</v>
      </c>
    </row>
    <row r="19" customFormat="false" ht="15" hidden="false" customHeight="false" outlineLevel="0" collapsed="false">
      <c r="A19" s="11" t="s">
        <v>210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</sheetData>
  <autoFilter ref="A2:P17"/>
  <mergeCells count="2">
    <mergeCell ref="A1:P1"/>
    <mergeCell ref="A19:P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7" min="4" style="0" width="20"/>
    <col collapsed="false" customWidth="true" hidden="false" outlineLevel="0" max="8" min="8" style="0" width="36"/>
  </cols>
  <sheetData>
    <row r="1" customFormat="false" ht="25.5" hidden="false" customHeight="true" outlineLevel="0" collapsed="false">
      <c r="A1" s="6" t="s">
        <v>211</v>
      </c>
      <c r="B1" s="6"/>
      <c r="C1" s="6"/>
      <c r="D1" s="6"/>
      <c r="E1" s="6"/>
      <c r="F1" s="6"/>
    </row>
    <row r="2" customFormat="false" ht="48" hidden="false" customHeight="true" outlineLevel="0" collapsed="false">
      <c r="A2" s="7" t="s">
        <v>15</v>
      </c>
      <c r="B2" s="7" t="s">
        <v>212</v>
      </c>
      <c r="C2" s="7" t="s">
        <v>18</v>
      </c>
      <c r="D2" s="7" t="s">
        <v>213</v>
      </c>
      <c r="E2" s="7" t="s">
        <v>214</v>
      </c>
      <c r="F2" s="7" t="s">
        <v>215</v>
      </c>
      <c r="G2" s="7" t="s">
        <v>216</v>
      </c>
      <c r="H2" s="7" t="s">
        <v>217</v>
      </c>
    </row>
    <row r="3" customFormat="false" ht="45.75" hidden="false" customHeight="true" outlineLevel="0" collapsed="false">
      <c r="A3" s="8" t="n">
        <v>1</v>
      </c>
      <c r="B3" s="9" t="s">
        <v>218</v>
      </c>
      <c r="C3" s="8" t="n">
        <v>2024</v>
      </c>
      <c r="D3" s="12" t="s">
        <v>219</v>
      </c>
      <c r="E3" s="13" t="s">
        <v>220</v>
      </c>
      <c r="F3" s="13" t="s">
        <v>220</v>
      </c>
      <c r="G3" s="12" t="s">
        <v>219</v>
      </c>
      <c r="H3" s="9" t="s">
        <v>221</v>
      </c>
    </row>
    <row r="4" customFormat="false" ht="45.75" hidden="false" customHeight="true" outlineLevel="0" collapsed="false">
      <c r="A4" s="8" t="n">
        <v>2</v>
      </c>
      <c r="B4" s="9" t="s">
        <v>222</v>
      </c>
      <c r="C4" s="8" t="n">
        <v>2024</v>
      </c>
      <c r="D4" s="12" t="s">
        <v>219</v>
      </c>
      <c r="E4" s="13" t="s">
        <v>220</v>
      </c>
      <c r="F4" s="13" t="s">
        <v>220</v>
      </c>
      <c r="G4" s="12" t="s">
        <v>219</v>
      </c>
      <c r="H4" s="9" t="s">
        <v>223</v>
      </c>
    </row>
    <row r="5" customFormat="false" ht="45.75" hidden="false" customHeight="true" outlineLevel="0" collapsed="false">
      <c r="A5" s="8" t="n">
        <v>3</v>
      </c>
      <c r="B5" s="9" t="s">
        <v>224</v>
      </c>
      <c r="C5" s="8" t="n">
        <v>2024</v>
      </c>
      <c r="D5" s="14" t="s">
        <v>225</v>
      </c>
      <c r="E5" s="12" t="s">
        <v>219</v>
      </c>
      <c r="F5" s="14" t="s">
        <v>225</v>
      </c>
      <c r="G5" s="14" t="s">
        <v>225</v>
      </c>
      <c r="H5" s="9" t="s">
        <v>226</v>
      </c>
    </row>
    <row r="6" customFormat="false" ht="45.75" hidden="false" customHeight="true" outlineLevel="0" collapsed="false">
      <c r="A6" s="8" t="n">
        <v>4</v>
      </c>
      <c r="B6" s="9" t="s">
        <v>227</v>
      </c>
      <c r="C6" s="8" t="n">
        <v>2024</v>
      </c>
      <c r="D6" s="12" t="s">
        <v>219</v>
      </c>
      <c r="E6" s="13" t="s">
        <v>220</v>
      </c>
      <c r="F6" s="13" t="s">
        <v>220</v>
      </c>
      <c r="G6" s="14" t="s">
        <v>225</v>
      </c>
      <c r="H6" s="9" t="s">
        <v>228</v>
      </c>
    </row>
    <row r="7" customFormat="false" ht="45.75" hidden="false" customHeight="true" outlineLevel="0" collapsed="false">
      <c r="A7" s="8" t="n">
        <v>5</v>
      </c>
      <c r="B7" s="9" t="s">
        <v>229</v>
      </c>
      <c r="C7" s="8" t="n">
        <v>2024</v>
      </c>
      <c r="D7" s="13" t="s">
        <v>220</v>
      </c>
      <c r="E7" s="13" t="s">
        <v>220</v>
      </c>
      <c r="F7" s="14" t="s">
        <v>225</v>
      </c>
      <c r="G7" s="14" t="s">
        <v>225</v>
      </c>
      <c r="H7" s="9" t="s">
        <v>230</v>
      </c>
    </row>
    <row r="8" customFormat="false" ht="45.75" hidden="false" customHeight="true" outlineLevel="0" collapsed="false">
      <c r="A8" s="8" t="n">
        <v>6</v>
      </c>
      <c r="B8" s="9" t="s">
        <v>231</v>
      </c>
      <c r="C8" s="8" t="n">
        <v>2024</v>
      </c>
      <c r="D8" s="12" t="s">
        <v>219</v>
      </c>
      <c r="E8" s="13" t="s">
        <v>220</v>
      </c>
      <c r="F8" s="12" t="s">
        <v>219</v>
      </c>
      <c r="G8" s="14" t="s">
        <v>225</v>
      </c>
      <c r="H8" s="9" t="s">
        <v>232</v>
      </c>
    </row>
    <row r="9" customFormat="false" ht="45.75" hidden="false" customHeight="true" outlineLevel="0" collapsed="false">
      <c r="A9" s="8" t="n">
        <v>7</v>
      </c>
      <c r="B9" s="9" t="s">
        <v>233</v>
      </c>
      <c r="C9" s="8" t="n">
        <v>2024</v>
      </c>
      <c r="D9" s="13" t="s">
        <v>220</v>
      </c>
      <c r="E9" s="13" t="s">
        <v>220</v>
      </c>
      <c r="F9" s="13" t="s">
        <v>220</v>
      </c>
      <c r="G9" s="14" t="s">
        <v>225</v>
      </c>
      <c r="H9" s="9" t="s">
        <v>234</v>
      </c>
    </row>
    <row r="10" customFormat="false" ht="45.75" hidden="false" customHeight="true" outlineLevel="0" collapsed="false">
      <c r="A10" s="8" t="n">
        <v>8</v>
      </c>
      <c r="B10" s="9" t="s">
        <v>235</v>
      </c>
      <c r="C10" s="8" t="n">
        <v>2024</v>
      </c>
      <c r="D10" s="12" t="s">
        <v>219</v>
      </c>
      <c r="E10" s="13" t="s">
        <v>220</v>
      </c>
      <c r="F10" s="13" t="s">
        <v>220</v>
      </c>
      <c r="G10" s="14" t="s">
        <v>225</v>
      </c>
      <c r="H10" s="9" t="s">
        <v>236</v>
      </c>
    </row>
    <row r="11" customFormat="false" ht="45.75" hidden="false" customHeight="true" outlineLevel="0" collapsed="false">
      <c r="A11" s="8" t="n">
        <v>9</v>
      </c>
      <c r="B11" s="9" t="s">
        <v>237</v>
      </c>
      <c r="C11" s="8" t="n">
        <v>2025</v>
      </c>
      <c r="D11" s="14" t="s">
        <v>225</v>
      </c>
      <c r="E11" s="13" t="s">
        <v>220</v>
      </c>
      <c r="F11" s="14" t="s">
        <v>225</v>
      </c>
      <c r="G11" s="12" t="s">
        <v>219</v>
      </c>
      <c r="H11" s="9" t="s">
        <v>238</v>
      </c>
    </row>
    <row r="12" customFormat="false" ht="45.75" hidden="false" customHeight="true" outlineLevel="0" collapsed="false">
      <c r="A12" s="8" t="n">
        <v>10</v>
      </c>
      <c r="B12" s="9" t="s">
        <v>239</v>
      </c>
      <c r="C12" s="8" t="n">
        <v>2025</v>
      </c>
      <c r="D12" s="14" t="s">
        <v>225</v>
      </c>
      <c r="E12" s="13" t="s">
        <v>220</v>
      </c>
      <c r="F12" s="14" t="s">
        <v>225</v>
      </c>
      <c r="G12" s="12" t="s">
        <v>219</v>
      </c>
      <c r="H12" s="9" t="s">
        <v>240</v>
      </c>
    </row>
    <row r="13" customFormat="false" ht="45.75" hidden="false" customHeight="true" outlineLevel="0" collapsed="false">
      <c r="A13" s="8" t="n">
        <v>11</v>
      </c>
      <c r="B13" s="9" t="s">
        <v>241</v>
      </c>
      <c r="C13" s="8" t="n">
        <v>2025</v>
      </c>
      <c r="D13" s="12" t="s">
        <v>219</v>
      </c>
      <c r="E13" s="12" t="s">
        <v>219</v>
      </c>
      <c r="F13" s="14" t="s">
        <v>225</v>
      </c>
      <c r="G13" s="14" t="s">
        <v>225</v>
      </c>
      <c r="H13" s="9" t="s">
        <v>242</v>
      </c>
    </row>
    <row r="14" customFormat="false" ht="45.75" hidden="false" customHeight="true" outlineLevel="0" collapsed="false">
      <c r="A14" s="8" t="n">
        <v>12</v>
      </c>
      <c r="B14" s="9" t="s">
        <v>243</v>
      </c>
      <c r="C14" s="8" t="n">
        <v>2025</v>
      </c>
      <c r="D14" s="13" t="s">
        <v>220</v>
      </c>
      <c r="E14" s="13" t="s">
        <v>220</v>
      </c>
      <c r="F14" s="12" t="s">
        <v>219</v>
      </c>
      <c r="G14" s="13" t="s">
        <v>220</v>
      </c>
      <c r="H14" s="9" t="s">
        <v>244</v>
      </c>
    </row>
    <row r="15" customFormat="false" ht="45.75" hidden="false" customHeight="true" outlineLevel="0" collapsed="false">
      <c r="A15" s="8" t="n">
        <v>13</v>
      </c>
      <c r="B15" s="9" t="s">
        <v>245</v>
      </c>
      <c r="C15" s="8" t="n">
        <v>2025</v>
      </c>
      <c r="D15" s="12" t="s">
        <v>219</v>
      </c>
      <c r="E15" s="13" t="s">
        <v>220</v>
      </c>
      <c r="F15" s="14" t="s">
        <v>225</v>
      </c>
      <c r="G15" s="14" t="s">
        <v>225</v>
      </c>
      <c r="H15" s="9" t="s">
        <v>246</v>
      </c>
    </row>
    <row r="16" customFormat="false" ht="45.75" hidden="false" customHeight="true" outlineLevel="0" collapsed="false">
      <c r="A16" s="8" t="n">
        <v>14</v>
      </c>
      <c r="B16" s="9" t="s">
        <v>247</v>
      </c>
      <c r="C16" s="8" t="n">
        <v>2025</v>
      </c>
      <c r="D16" s="13" t="s">
        <v>220</v>
      </c>
      <c r="E16" s="13" t="s">
        <v>220</v>
      </c>
      <c r="F16" s="13" t="s">
        <v>220</v>
      </c>
      <c r="G16" s="12" t="s">
        <v>219</v>
      </c>
      <c r="H16" s="9" t="s">
        <v>248</v>
      </c>
    </row>
    <row r="17" customFormat="false" ht="45.75" hidden="false" customHeight="true" outlineLevel="0" collapsed="false">
      <c r="A17" s="8" t="n">
        <v>15</v>
      </c>
      <c r="B17" s="9" t="s">
        <v>249</v>
      </c>
      <c r="C17" s="8" t="n">
        <v>2025</v>
      </c>
      <c r="D17" s="13" t="s">
        <v>220</v>
      </c>
      <c r="E17" s="13" t="s">
        <v>220</v>
      </c>
      <c r="F17" s="13" t="s">
        <v>220</v>
      </c>
      <c r="G17" s="14" t="s">
        <v>225</v>
      </c>
      <c r="H17" s="9" t="s">
        <v>250</v>
      </c>
    </row>
    <row r="19" customFormat="false" ht="15" hidden="false" customHeight="false" outlineLevel="0" collapsed="false">
      <c r="A19" s="5" t="s">
        <v>251</v>
      </c>
    </row>
    <row r="20" customFormat="false" ht="15" hidden="false" customHeight="false" outlineLevel="0" collapsed="false">
      <c r="A20" s="15" t="s">
        <v>252</v>
      </c>
    </row>
    <row r="21" customFormat="false" ht="15" hidden="false" customHeight="false" outlineLevel="0" collapsed="false">
      <c r="A21" s="16" t="s">
        <v>253</v>
      </c>
    </row>
    <row r="22" customFormat="false" ht="15" hidden="false" customHeight="false" outlineLevel="0" collapsed="false">
      <c r="A22" s="17" t="s">
        <v>254</v>
      </c>
    </row>
  </sheetData>
  <autoFilter ref="A2:H17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6" t="s">
        <v>255</v>
      </c>
      <c r="B1" s="6"/>
      <c r="C1" s="6"/>
      <c r="D1" s="6"/>
      <c r="E1" s="6"/>
      <c r="F1" s="6"/>
    </row>
    <row r="3" customFormat="false" ht="19.5" hidden="false" customHeight="true" outlineLevel="0" collapsed="false">
      <c r="A3" s="18" t="s">
        <v>256</v>
      </c>
      <c r="B3" s="18"/>
      <c r="C3" s="18"/>
    </row>
    <row r="4" customFormat="false" ht="15" hidden="false" customHeight="false" outlineLevel="0" collapsed="false">
      <c r="A4" s="5" t="s">
        <v>257</v>
      </c>
      <c r="B4" s="5" t="s">
        <v>258</v>
      </c>
      <c r="C4" s="5" t="s">
        <v>259</v>
      </c>
    </row>
    <row r="5" customFormat="false" ht="15" hidden="false" customHeight="false" outlineLevel="0" collapsed="false">
      <c r="A5" s="19" t="n">
        <v>2024</v>
      </c>
      <c r="B5" s="19" t="n">
        <f aca="false">COUNTIF('1. Literature_Review'!$D$3:$D$17,2024)</f>
        <v>8</v>
      </c>
      <c r="C5" s="20" t="n">
        <f aca="false">B5/15</f>
        <v>0.533333333333333</v>
      </c>
    </row>
    <row r="6" customFormat="false" ht="15" hidden="false" customHeight="false" outlineLevel="0" collapsed="false">
      <c r="A6" s="19" t="n">
        <v>2025</v>
      </c>
      <c r="B6" s="19" t="n">
        <f aca="false">COUNTIF('1. Literature_Review'!$D$3:$D$17,2025)</f>
        <v>7</v>
      </c>
      <c r="C6" s="20" t="n">
        <f aca="false">B6/15</f>
        <v>0.466666666666667</v>
      </c>
    </row>
    <row r="7" customFormat="false" ht="15" hidden="false" customHeight="false" outlineLevel="0" collapsed="false">
      <c r="A7" s="19" t="n">
        <v>2026</v>
      </c>
      <c r="B7" s="19" t="n">
        <f aca="false">COUNTIF('1. Literature_Review'!$D$3:$D$17,2026)</f>
        <v>0</v>
      </c>
      <c r="C7" s="20" t="n">
        <f aca="false">B7/15</f>
        <v>0</v>
      </c>
    </row>
    <row r="8" customFormat="false" ht="15" hidden="false" customHeight="false" outlineLevel="0" collapsed="false">
      <c r="A8" s="21" t="s">
        <v>260</v>
      </c>
      <c r="B8" s="21" t="n">
        <f aca="false">SUM(B5:B7)</f>
        <v>15</v>
      </c>
      <c r="C8" s="20" t="n">
        <f aca="false">B8/15</f>
        <v>1</v>
      </c>
    </row>
    <row r="11" customFormat="false" ht="19.5" hidden="false" customHeight="true" outlineLevel="0" collapsed="false">
      <c r="A11" s="18" t="s">
        <v>261</v>
      </c>
      <c r="B11" s="18"/>
      <c r="C11" s="18"/>
    </row>
    <row r="12" customFormat="false" ht="15" hidden="false" customHeight="false" outlineLevel="0" collapsed="false">
      <c r="A12" s="5" t="s">
        <v>20</v>
      </c>
      <c r="B12" s="5" t="s">
        <v>258</v>
      </c>
      <c r="C12" s="5" t="s">
        <v>259</v>
      </c>
    </row>
    <row r="13" customFormat="false" ht="15" hidden="false" customHeight="false" outlineLevel="0" collapsed="false">
      <c r="A13" s="19" t="s">
        <v>34</v>
      </c>
      <c r="B13" s="19" t="n">
        <f aca="false">COUNTIF('1. Literature_Review'!$F$3:$F$17,"Journal")</f>
        <v>9</v>
      </c>
      <c r="C13" s="20" t="n">
        <f aca="false">B13/15</f>
        <v>0.6</v>
      </c>
    </row>
    <row r="14" customFormat="false" ht="15" hidden="false" customHeight="false" outlineLevel="0" collapsed="false">
      <c r="A14" s="19" t="s">
        <v>262</v>
      </c>
      <c r="B14" s="19" t="n">
        <f aca="false">COUNTIF('1. Literature_Review'!$F$3:$F$17,"Conference*")</f>
        <v>6</v>
      </c>
      <c r="C14" s="20" t="n">
        <f aca="false">B14/15</f>
        <v>0.4</v>
      </c>
    </row>
    <row r="15" customFormat="false" ht="15" hidden="false" customHeight="false" outlineLevel="0" collapsed="false">
      <c r="A15" s="21" t="s">
        <v>260</v>
      </c>
      <c r="B15" s="21" t="n">
        <f aca="false">SUM(B13:B14)</f>
        <v>15</v>
      </c>
    </row>
    <row r="18" customFormat="false" ht="19.5" hidden="false" customHeight="true" outlineLevel="0" collapsed="false">
      <c r="A18" s="18" t="s">
        <v>263</v>
      </c>
      <c r="B18" s="18"/>
      <c r="C18" s="18"/>
    </row>
    <row r="19" customFormat="false" ht="15" hidden="false" customHeight="false" outlineLevel="0" collapsed="false">
      <c r="A19" s="5" t="s">
        <v>264</v>
      </c>
      <c r="B19" s="5" t="s">
        <v>258</v>
      </c>
      <c r="C19" s="5" t="s">
        <v>259</v>
      </c>
    </row>
    <row r="20" customFormat="false" ht="15" hidden="false" customHeight="false" outlineLevel="0" collapsed="false">
      <c r="A20" s="19" t="s">
        <v>43</v>
      </c>
      <c r="B20" s="19" t="n">
        <f aca="false">COUNTIF('1. Literature_Review'!$O$3:$O$17,"ACM")</f>
        <v>3</v>
      </c>
      <c r="C20" s="20" t="n">
        <f aca="false">B20/15</f>
        <v>0.2</v>
      </c>
    </row>
    <row r="21" customFormat="false" ht="15" hidden="false" customHeight="false" outlineLevel="0" collapsed="false">
      <c r="A21" s="19" t="s">
        <v>79</v>
      </c>
      <c r="B21" s="19" t="n">
        <f aca="false">COUNTIF('1. Literature_Review'!$O$3:$O$17,"Elsevier")</f>
        <v>4</v>
      </c>
      <c r="C21" s="20" t="n">
        <f aca="false">B21/15</f>
        <v>0.266666666666667</v>
      </c>
    </row>
    <row r="22" customFormat="false" ht="15" hidden="false" customHeight="false" outlineLevel="0" collapsed="false">
      <c r="A22" s="19" t="s">
        <v>66</v>
      </c>
      <c r="B22" s="19" t="n">
        <f aca="false">COUNTIF('1. Literature_Review'!$O$3:$O$17,"IEEE")</f>
        <v>4</v>
      </c>
      <c r="C22" s="20" t="n">
        <f aca="false">B22/15</f>
        <v>0.266666666666667</v>
      </c>
    </row>
    <row r="23" customFormat="false" ht="15" hidden="false" customHeight="false" outlineLevel="0" collapsed="false">
      <c r="A23" s="19" t="s">
        <v>139</v>
      </c>
      <c r="B23" s="19" t="n">
        <f aca="false">COUNTIF('1. Literature_Review'!$O$3:$O$17,"MDPI")</f>
        <v>1</v>
      </c>
      <c r="C23" s="20" t="n">
        <f aca="false">B23/15</f>
        <v>0.0666666666666667</v>
      </c>
    </row>
    <row r="24" customFormat="false" ht="15" hidden="false" customHeight="false" outlineLevel="0" collapsed="false">
      <c r="A24" s="19" t="s">
        <v>161</v>
      </c>
      <c r="B24" s="19" t="n">
        <f aca="false">COUNTIF('1. Literature_Review'!$O$3:$O$17,"Nature/Springer")</f>
        <v>1</v>
      </c>
      <c r="C24" s="20" t="n">
        <f aca="false">B24/15</f>
        <v>0.0666666666666667</v>
      </c>
    </row>
    <row r="25" customFormat="false" ht="15" hidden="false" customHeight="false" outlineLevel="0" collapsed="false">
      <c r="A25" s="19" t="s">
        <v>197</v>
      </c>
      <c r="B25" s="19" t="n">
        <f aca="false">COUNTIF('1. Literature_Review'!$O$3:$O$17,"Scopus (Other)")</f>
        <v>1</v>
      </c>
      <c r="C25" s="20" t="n">
        <f aca="false">B25/15</f>
        <v>0.0666666666666667</v>
      </c>
    </row>
    <row r="26" customFormat="false" ht="15" hidden="false" customHeight="false" outlineLevel="0" collapsed="false">
      <c r="A26" s="19" t="s">
        <v>209</v>
      </c>
      <c r="B26" s="19" t="n">
        <f aca="false">COUNTIF('1. Literature_Review'!$O$3:$O$17,"Springer")</f>
        <v>1</v>
      </c>
      <c r="C26" s="20" t="n">
        <f aca="false">B26/15</f>
        <v>0.0666666666666667</v>
      </c>
    </row>
    <row r="27" customFormat="false" ht="15" hidden="false" customHeight="false" outlineLevel="0" collapsed="false">
      <c r="A27" s="21" t="s">
        <v>260</v>
      </c>
      <c r="B27" s="21" t="n">
        <f aca="false">SUM(B20:B26)</f>
        <v>15</v>
      </c>
    </row>
    <row r="30" customFormat="false" ht="19.5" hidden="false" customHeight="true" outlineLevel="0" collapsed="false">
      <c r="A30" s="18" t="s">
        <v>265</v>
      </c>
      <c r="B30" s="18"/>
      <c r="C30" s="18"/>
    </row>
    <row r="31" customFormat="false" ht="15" hidden="false" customHeight="false" outlineLevel="0" collapsed="false">
      <c r="A31" s="5" t="s">
        <v>266</v>
      </c>
      <c r="B31" s="5" t="s">
        <v>258</v>
      </c>
      <c r="C31" s="5" t="s">
        <v>259</v>
      </c>
    </row>
    <row r="32" customFormat="false" ht="15" hidden="false" customHeight="false" outlineLevel="0" collapsed="false">
      <c r="A32" s="19" t="s">
        <v>116</v>
      </c>
      <c r="B32" s="19" t="n">
        <f aca="false">COUNTIF('1. Literature_Review'!$P$3:$P$17,"Architecture-level Design")</f>
        <v>2</v>
      </c>
      <c r="C32" s="20" t="n">
        <f aca="false">B32/15</f>
        <v>0.133333333333333</v>
      </c>
    </row>
    <row r="33" customFormat="false" ht="15" hidden="false" customHeight="false" outlineLevel="0" collapsed="false">
      <c r="A33" s="19" t="s">
        <v>104</v>
      </c>
      <c r="B33" s="19" t="n">
        <f aca="false">COUNTIF('1. Literature_Review'!$P$3:$P$17,"Detection &amp; Masking")</f>
        <v>1</v>
      </c>
      <c r="C33" s="20" t="n">
        <f aca="false">B33/15</f>
        <v>0.0666666666666667</v>
      </c>
    </row>
    <row r="34" customFormat="false" ht="15" hidden="false" customHeight="false" outlineLevel="0" collapsed="false">
      <c r="A34" s="19" t="s">
        <v>80</v>
      </c>
      <c r="B34" s="19" t="n">
        <f aca="false">COUNTIF('1. Literature_Review'!$P$3:$P$17,"Fault Injection (Empirical)")</f>
        <v>3</v>
      </c>
      <c r="C34" s="20" t="n">
        <f aca="false">B34/15</f>
        <v>0.2</v>
      </c>
    </row>
    <row r="35" customFormat="false" ht="15" hidden="false" customHeight="false" outlineLevel="0" collapsed="false">
      <c r="A35" s="19" t="s">
        <v>67</v>
      </c>
      <c r="B35" s="19" t="n">
        <f aca="false">COUNTIF('1. Literature_Review'!$P$3:$P$17,"Fault Injection + Protection")</f>
        <v>2</v>
      </c>
      <c r="C35" s="20" t="n">
        <f aca="false">B35/15</f>
        <v>0.133333333333333</v>
      </c>
    </row>
    <row r="36" customFormat="false" ht="15" hidden="false" customHeight="false" outlineLevel="0" collapsed="false">
      <c r="A36" s="19" t="s">
        <v>92</v>
      </c>
      <c r="B36" s="19" t="n">
        <f aca="false">COUNTIF('1. Literature_Review'!$P$3:$P$17,"Hardware/Accelerator Design")</f>
        <v>2</v>
      </c>
      <c r="C36" s="20" t="n">
        <f aca="false">B36/15</f>
        <v>0.133333333333333</v>
      </c>
    </row>
    <row r="37" customFormat="false" ht="15" hidden="false" customHeight="false" outlineLevel="0" collapsed="false">
      <c r="A37" s="19" t="s">
        <v>140</v>
      </c>
      <c r="B37" s="19" t="n">
        <f aca="false">COUNTIF('1. Literature_Review'!$P$3:$P$17,"Learning-based (RL) Protection")</f>
        <v>1</v>
      </c>
      <c r="C37" s="20" t="n">
        <f aca="false">B37/15</f>
        <v>0.0666666666666667</v>
      </c>
    </row>
    <row r="38" customFormat="false" ht="15" hidden="false" customHeight="false" outlineLevel="0" collapsed="false">
      <c r="A38" s="19" t="s">
        <v>44</v>
      </c>
      <c r="B38" s="19" t="n">
        <f aca="false">COUNTIF('1. Literature_Review'!$P$3:$P$17,"Survey/Review")</f>
        <v>3</v>
      </c>
      <c r="C38" s="20" t="n">
        <f aca="false">B38/15</f>
        <v>0.2</v>
      </c>
    </row>
    <row r="39" customFormat="false" ht="15" hidden="false" customHeight="false" outlineLevel="0" collapsed="false">
      <c r="A39" s="19" t="s">
        <v>162</v>
      </c>
      <c r="B39" s="19" t="n">
        <f aca="false">COUNTIF('1. Literature_Review'!$P$3:$P$17,"System-level Fault Tolerance")</f>
        <v>1</v>
      </c>
      <c r="C39" s="20" t="n">
        <f aca="false">B39/15</f>
        <v>0.0666666666666667</v>
      </c>
    </row>
    <row r="40" customFormat="false" ht="15" hidden="false" customHeight="false" outlineLevel="0" collapsed="false">
      <c r="A40" s="21" t="s">
        <v>260</v>
      </c>
      <c r="B40" s="21" t="n">
        <f aca="false">SUM(B32:B39)</f>
        <v>15</v>
      </c>
    </row>
    <row r="43" customFormat="false" ht="19.5" hidden="false" customHeight="true" outlineLevel="0" collapsed="false">
      <c r="A43" s="18" t="s">
        <v>267</v>
      </c>
      <c r="B43" s="18"/>
      <c r="C43" s="18"/>
    </row>
    <row r="44" customFormat="false" ht="27.75" hidden="false" customHeight="true" outlineLevel="0" collapsed="false">
      <c r="A44" s="22" t="s">
        <v>268</v>
      </c>
      <c r="B44" s="19" t="n">
        <v>60</v>
      </c>
    </row>
    <row r="45" customFormat="false" ht="27.75" hidden="false" customHeight="true" outlineLevel="0" collapsed="false">
      <c r="A45" s="22" t="s">
        <v>269</v>
      </c>
      <c r="B45" s="19" t="n">
        <v>21</v>
      </c>
    </row>
    <row r="46" customFormat="false" ht="27.75" hidden="false" customHeight="true" outlineLevel="0" collapsed="false">
      <c r="A46" s="22" t="s">
        <v>270</v>
      </c>
      <c r="B46" s="19" t="n">
        <v>9</v>
      </c>
    </row>
    <row r="47" customFormat="false" ht="27.75" hidden="false" customHeight="true" outlineLevel="0" collapsed="false">
      <c r="A47" s="22" t="s">
        <v>271</v>
      </c>
      <c r="B47" s="19" t="n">
        <v>15</v>
      </c>
    </row>
    <row r="48" customFormat="false" ht="27.75" hidden="false" customHeight="true" outlineLevel="0" collapsed="false">
      <c r="A48" s="22" t="s">
        <v>272</v>
      </c>
      <c r="B48" s="19" t="n">
        <v>15</v>
      </c>
    </row>
    <row r="51" customFormat="false" ht="19.5" hidden="false" customHeight="true" outlineLevel="0" collapsed="false">
      <c r="A51" s="18" t="s">
        <v>273</v>
      </c>
      <c r="B51" s="18"/>
      <c r="C51" s="18"/>
    </row>
    <row r="52" customFormat="false" ht="15" hidden="false" customHeight="false" outlineLevel="0" collapsed="false">
      <c r="A52" s="5" t="s">
        <v>274</v>
      </c>
      <c r="B52" s="5" t="s">
        <v>225</v>
      </c>
      <c r="C52" s="5" t="s">
        <v>219</v>
      </c>
    </row>
    <row r="53" customFormat="false" ht="15" hidden="false" customHeight="false" outlineLevel="0" collapsed="false">
      <c r="A53" s="19" t="s">
        <v>275</v>
      </c>
      <c r="B53" s="19" t="n">
        <f aca="false">COUNTIF('2. Novelty_Gap_Matrix'!$D$3:$D$17,"Strong")</f>
        <v>3</v>
      </c>
      <c r="C53" s="19" t="n">
        <f aca="false">COUNTIF('2. Novelty_Gap_Matrix'!$D$3:$D$17,"Partial")</f>
        <v>7</v>
      </c>
    </row>
    <row r="54" customFormat="false" ht="15" hidden="false" customHeight="false" outlineLevel="0" collapsed="false">
      <c r="A54" s="19" t="s">
        <v>276</v>
      </c>
      <c r="B54" s="19" t="n">
        <f aca="false">COUNTIF('2. Novelty_Gap_Matrix'!$E$3:$E$17,"Strong")</f>
        <v>0</v>
      </c>
      <c r="C54" s="19" t="n">
        <f aca="false">COUNTIF('2. Novelty_Gap_Matrix'!$E$3:$E$17,"Partial")</f>
        <v>2</v>
      </c>
    </row>
    <row r="55" customFormat="false" ht="15" hidden="false" customHeight="false" outlineLevel="0" collapsed="false">
      <c r="A55" s="19" t="s">
        <v>277</v>
      </c>
      <c r="B55" s="19" t="n">
        <f aca="false">COUNTIF('2. Novelty_Gap_Matrix'!$F$3:$F$17,"Strong")</f>
        <v>6</v>
      </c>
      <c r="C55" s="19" t="n">
        <f aca="false">COUNTIF('2. Novelty_Gap_Matrix'!$F$3:$F$17,"Partial")</f>
        <v>2</v>
      </c>
    </row>
    <row r="56" customFormat="false" ht="15" hidden="false" customHeight="false" outlineLevel="0" collapsed="false">
      <c r="A56" s="19" t="s">
        <v>278</v>
      </c>
      <c r="B56" s="19" t="n">
        <f aca="false">COUNTIF('2. Novelty_Gap_Matrix'!$G$3:$G$17,"Strong")</f>
        <v>9</v>
      </c>
      <c r="C56" s="19" t="n">
        <f aca="false">COUNTIF('2. Novelty_Gap_Matrix'!$G$3:$G$17,"Partial")</f>
        <v>5</v>
      </c>
    </row>
  </sheetData>
  <mergeCells count="7">
    <mergeCell ref="A1:F1"/>
    <mergeCell ref="A3:C3"/>
    <mergeCell ref="A11:C11"/>
    <mergeCell ref="A18:C18"/>
    <mergeCell ref="A30:C30"/>
    <mergeCell ref="A43:C43"/>
    <mergeCell ref="A51:C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55"/>
  </cols>
  <sheetData>
    <row r="1" customFormat="false" ht="25.5" hidden="false" customHeight="true" outlineLevel="0" collapsed="false">
      <c r="A1" s="6" t="s">
        <v>279</v>
      </c>
      <c r="B1" s="6"/>
      <c r="C1" s="6"/>
    </row>
    <row r="3" customFormat="false" ht="30" hidden="false" customHeight="true" outlineLevel="0" collapsed="false">
      <c r="A3" s="7" t="s">
        <v>280</v>
      </c>
      <c r="B3" s="7" t="s">
        <v>281</v>
      </c>
      <c r="C3" s="7" t="s">
        <v>282</v>
      </c>
    </row>
    <row r="4" customFormat="false" ht="78" hidden="false" customHeight="true" outlineLevel="0" collapsed="false">
      <c r="A4" s="23" t="s">
        <v>283</v>
      </c>
      <c r="B4" s="9" t="s">
        <v>284</v>
      </c>
      <c r="C4" s="24" t="s">
        <v>285</v>
      </c>
    </row>
    <row r="5" customFormat="false" ht="78" hidden="false" customHeight="true" outlineLevel="0" collapsed="false">
      <c r="A5" s="23" t="s">
        <v>286</v>
      </c>
      <c r="B5" s="9" t="s">
        <v>287</v>
      </c>
      <c r="C5" s="24" t="s">
        <v>288</v>
      </c>
    </row>
    <row r="6" customFormat="false" ht="78" hidden="false" customHeight="true" outlineLevel="0" collapsed="false">
      <c r="A6" s="23" t="s">
        <v>289</v>
      </c>
      <c r="B6" s="9" t="s">
        <v>290</v>
      </c>
      <c r="C6" s="24" t="s">
        <v>291</v>
      </c>
    </row>
    <row r="7" customFormat="false" ht="78" hidden="false" customHeight="true" outlineLevel="0" collapsed="false">
      <c r="A7" s="23" t="s">
        <v>292</v>
      </c>
      <c r="B7" s="9" t="s">
        <v>293</v>
      </c>
      <c r="C7" s="24" t="s">
        <v>294</v>
      </c>
    </row>
    <row r="8" customFormat="false" ht="78" hidden="false" customHeight="true" outlineLevel="0" collapsed="false">
      <c r="A8" s="23" t="s">
        <v>295</v>
      </c>
      <c r="B8" s="9" t="s">
        <v>296</v>
      </c>
      <c r="C8" s="24" t="s">
        <v>297</v>
      </c>
    </row>
    <row r="9" customFormat="false" ht="78" hidden="false" customHeight="true" outlineLevel="0" collapsed="false">
      <c r="A9" s="23" t="s">
        <v>298</v>
      </c>
      <c r="B9" s="9" t="s">
        <v>299</v>
      </c>
      <c r="C9" s="24" t="s">
        <v>300</v>
      </c>
    </row>
    <row r="11" customFormat="false" ht="60" hidden="false" customHeight="true" outlineLevel="0" collapsed="false">
      <c r="A11" s="25" t="s">
        <v>301</v>
      </c>
      <c r="B11" s="25"/>
      <c r="C11" s="25"/>
    </row>
  </sheetData>
  <mergeCells count="2">
    <mergeCell ref="A1:C1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2026-08-09T14:09:02Z</dcterms:created>
  <dc:creator>openpyxl</dc:creator>
  <dc:description/>
  <dc:language>en-US</dc:language>
  <cp:lastModifiedBy/>
  <dcterms:modified xsi:type="dcterms:W3CDTF">2026-08-09T14:09:08Z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